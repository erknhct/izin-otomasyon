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b185883\Desktop\yazı işleri\MESAİ\"/>
    </mc:Choice>
  </mc:AlternateContent>
  <xr:revisionPtr revIDLastSave="0" documentId="13_ncr:1_{A26E5A24-4D03-4C6E-A57A-7A937ACA632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AZİRAN-2026" sheetId="117" r:id="rId1"/>
    <sheet name="MAYIS-2026" sheetId="116" r:id="rId2"/>
    <sheet name="NİSAN 2026" sheetId="114" r:id="rId3"/>
    <sheet name="MART 2026" sheetId="113" r:id="rId4"/>
    <sheet name="ŞUBAT 2026" sheetId="1" r:id="rId5"/>
    <sheet name="OCAK 2026" sheetId="112" r:id="rId6"/>
    <sheet name="22" sheetId="33" r:id="rId7"/>
    <sheet name="23" sheetId="34" r:id="rId8"/>
    <sheet name="24" sheetId="35" r:id="rId9"/>
    <sheet name="25" sheetId="36" r:id="rId10"/>
    <sheet name="26" sheetId="37" r:id="rId11"/>
    <sheet name="27" sheetId="38" r:id="rId12"/>
    <sheet name="28" sheetId="39" r:id="rId13"/>
    <sheet name="29" sheetId="40" r:id="rId14"/>
    <sheet name="30" sheetId="41" r:id="rId15"/>
    <sheet name="31" sheetId="42" r:id="rId16"/>
    <sheet name="32" sheetId="43" r:id="rId17"/>
    <sheet name="33" sheetId="44" r:id="rId18"/>
    <sheet name="34" sheetId="45" r:id="rId19"/>
    <sheet name="35" sheetId="46" r:id="rId20"/>
    <sheet name="36" sheetId="47" r:id="rId21"/>
    <sheet name="37" sheetId="48" r:id="rId22"/>
    <sheet name="38" sheetId="49" r:id="rId23"/>
    <sheet name="39" sheetId="50" r:id="rId24"/>
    <sheet name="40" sheetId="51" r:id="rId25"/>
    <sheet name="41" sheetId="52" r:id="rId26"/>
    <sheet name="42" sheetId="53" r:id="rId27"/>
    <sheet name="43" sheetId="54" r:id="rId28"/>
    <sheet name="44" sheetId="55" r:id="rId29"/>
    <sheet name="45" sheetId="56" r:id="rId30"/>
    <sheet name="46" sheetId="57" r:id="rId31"/>
    <sheet name="47" sheetId="58" r:id="rId32"/>
    <sheet name="48" sheetId="59" r:id="rId33"/>
    <sheet name="49" sheetId="60" r:id="rId34"/>
    <sheet name="50" sheetId="61" r:id="rId35"/>
    <sheet name="51" sheetId="62" r:id="rId36"/>
    <sheet name="52" sheetId="63" r:id="rId37"/>
    <sheet name="53" sheetId="64" r:id="rId38"/>
    <sheet name="54" sheetId="65" r:id="rId39"/>
    <sheet name="55" sheetId="66" r:id="rId40"/>
    <sheet name="56" sheetId="67" r:id="rId41"/>
    <sheet name="57" sheetId="68" r:id="rId42"/>
    <sheet name="58" sheetId="69" r:id="rId43"/>
    <sheet name="59" sheetId="70" r:id="rId44"/>
    <sheet name="60" sheetId="71" r:id="rId45"/>
    <sheet name="61" sheetId="72" r:id="rId46"/>
    <sheet name="62" sheetId="73" r:id="rId47"/>
    <sheet name="63" sheetId="74" r:id="rId48"/>
    <sheet name="64" sheetId="75" r:id="rId49"/>
    <sheet name="65" sheetId="76" r:id="rId50"/>
    <sheet name="66" sheetId="77" r:id="rId51"/>
    <sheet name="67" sheetId="78" r:id="rId52"/>
    <sheet name="68" sheetId="79" r:id="rId53"/>
    <sheet name="69" sheetId="80" r:id="rId54"/>
    <sheet name="70" sheetId="81" r:id="rId55"/>
    <sheet name="71" sheetId="82" r:id="rId56"/>
    <sheet name="72" sheetId="83" r:id="rId57"/>
    <sheet name="73" sheetId="84" r:id="rId58"/>
    <sheet name="74" sheetId="85" r:id="rId59"/>
    <sheet name="75" sheetId="86" r:id="rId60"/>
    <sheet name="76" sheetId="87" r:id="rId61"/>
    <sheet name="77" sheetId="88" r:id="rId62"/>
    <sheet name="78" sheetId="89" r:id="rId63"/>
    <sheet name="79" sheetId="90" r:id="rId64"/>
    <sheet name="80" sheetId="91" r:id="rId65"/>
    <sheet name="81" sheetId="92" r:id="rId66"/>
    <sheet name="82" sheetId="93" r:id="rId67"/>
    <sheet name="83" sheetId="94" r:id="rId68"/>
    <sheet name="84" sheetId="95" r:id="rId69"/>
    <sheet name="85" sheetId="96" r:id="rId70"/>
    <sheet name="86" sheetId="97" r:id="rId71"/>
    <sheet name="87" sheetId="98" r:id="rId72"/>
    <sheet name="88" sheetId="99" r:id="rId73"/>
    <sheet name="89" sheetId="100" r:id="rId74"/>
    <sheet name="90" sheetId="101" r:id="rId75"/>
    <sheet name="91" sheetId="102" r:id="rId76"/>
    <sheet name="92" sheetId="103" r:id="rId77"/>
    <sheet name="93" sheetId="104" r:id="rId78"/>
    <sheet name="94" sheetId="105" r:id="rId79"/>
    <sheet name="95" sheetId="106" r:id="rId80"/>
    <sheet name="96" sheetId="107" r:id="rId81"/>
    <sheet name="97" sheetId="108" r:id="rId82"/>
    <sheet name="98" sheetId="109" r:id="rId83"/>
    <sheet name="99" sheetId="110" r:id="rId84"/>
    <sheet name="100" sheetId="111" r:id="rId85"/>
  </sheets>
  <definedNames>
    <definedName name="_xlnm._FilterDatabase" localSheetId="0" hidden="1">'HAZİRAN-2026'!$A$4:$AO$13</definedName>
    <definedName name="_xlnm._FilterDatabase" localSheetId="3" hidden="1">'MART 2026'!$A$4:$AO$13</definedName>
    <definedName name="_xlnm._FilterDatabase" localSheetId="1" hidden="1">'MAYIS-2026'!$A$4:$AO$13</definedName>
    <definedName name="_xlnm._FilterDatabase" localSheetId="2" hidden="1">'NİSAN 2026'!$A$4:$AO$13</definedName>
    <definedName name="_xlnm._FilterDatabase" localSheetId="5" hidden="1">'OCAK 2026'!$A$4:$AP$13</definedName>
    <definedName name="_xlnm._FilterDatabase" localSheetId="4" hidden="1">'ŞUBAT 2026'!$A$4:$AP$13</definedName>
    <definedName name="Print_Area_0" localSheetId="0">'HAZİRAN-2026'!$A$1:$AN$52</definedName>
    <definedName name="Print_Area_0" localSheetId="3">'MART 2026'!$A$1:$AN$53</definedName>
    <definedName name="Print_Area_0" localSheetId="1">'MAYIS-2026'!$A$1:$AN$52</definedName>
    <definedName name="Print_Area_0" localSheetId="2">'NİSAN 2026'!$A$1:$AN$53</definedName>
    <definedName name="Print_Area_0" localSheetId="5">'OCAK 2026'!$A$1:$AO$52</definedName>
    <definedName name="Print_Area_0" localSheetId="4">'ŞUBAT 2026'!$A$1:$AO$52</definedName>
    <definedName name="Print_Titles_0" localSheetId="0">'HAZİRAN-2026'!$1:$7</definedName>
    <definedName name="Print_Titles_0" localSheetId="3">'MART 2026'!$1:$7</definedName>
    <definedName name="Print_Titles_0" localSheetId="1">'MAYIS-2026'!$1:$7</definedName>
    <definedName name="Print_Titles_0" localSheetId="2">'NİSAN 2026'!$1:$7</definedName>
    <definedName name="Print_Titles_0" localSheetId="5">'OCAK 2026'!$1:$7</definedName>
    <definedName name="Print_Titles_0" localSheetId="4">'ŞUBAT 2026'!$1:$7</definedName>
    <definedName name="Print_Titles_0_0" localSheetId="0">'HAZİRAN-2026'!$1:$7</definedName>
    <definedName name="Print_Titles_0_0" localSheetId="3">'MART 2026'!$1:$7</definedName>
    <definedName name="Print_Titles_0_0" localSheetId="1">'MAYIS-2026'!$1:$7</definedName>
    <definedName name="Print_Titles_0_0" localSheetId="2">'NİSAN 2026'!$1:$7</definedName>
    <definedName name="Print_Titles_0_0" localSheetId="5">'OCAK 2026'!$1:$7</definedName>
    <definedName name="Print_Titles_0_0" localSheetId="4">'ŞUBAT 2026'!$1:$7</definedName>
    <definedName name="Print_Titles_0_0_0" localSheetId="0">'HAZİRAN-2026'!$1:$7</definedName>
    <definedName name="Print_Titles_0_0_0" localSheetId="3">'MART 2026'!$1:$7</definedName>
    <definedName name="Print_Titles_0_0_0" localSheetId="1">'MAYIS-2026'!$1:$7</definedName>
    <definedName name="Print_Titles_0_0_0" localSheetId="2">'NİSAN 2026'!$1:$7</definedName>
    <definedName name="Print_Titles_0_0_0" localSheetId="5">'OCAK 2026'!$1:$7</definedName>
    <definedName name="Print_Titles_0_0_0" localSheetId="4">'ŞUBAT 2026'!$1:$7</definedName>
    <definedName name="Print_Titles_0_0_0_0" localSheetId="0">'HAZİRAN-2026'!$1:$7</definedName>
    <definedName name="Print_Titles_0_0_0_0" localSheetId="3">'MART 2026'!$1:$7</definedName>
    <definedName name="Print_Titles_0_0_0_0" localSheetId="1">'MAYIS-2026'!$1:$7</definedName>
    <definedName name="Print_Titles_0_0_0_0" localSheetId="2">'NİSAN 2026'!$1:$7</definedName>
    <definedName name="Print_Titles_0_0_0_0" localSheetId="5">'OCAK 2026'!$1:$7</definedName>
    <definedName name="Print_Titles_0_0_0_0" localSheetId="4">'ŞUBAT 2026'!$1:$7</definedName>
    <definedName name="_xlnm.Print_Area" localSheetId="0">'HAZİRAN-2026'!$A$1:$AN$50</definedName>
    <definedName name="_xlnm.Print_Area" localSheetId="3">'MART 2026'!$A$1:$AN$51</definedName>
    <definedName name="_xlnm.Print_Area" localSheetId="1">'MAYIS-2026'!$A$1:$AN$50</definedName>
    <definedName name="_xlnm.Print_Area" localSheetId="2">'NİSAN 2026'!$A$1:$AN$51</definedName>
    <definedName name="_xlnm.Print_Area" localSheetId="5">'OCAK 2026'!$A$1:$AO$50</definedName>
    <definedName name="_xlnm.Print_Area" localSheetId="4">'ŞUBAT 2026'!$A$1:$AO$50</definedName>
    <definedName name="_xlnm.Print_Titles" localSheetId="0">'HAZİRAN-2026'!$1:$7</definedName>
    <definedName name="_xlnm.Print_Titles" localSheetId="3">'MART 2026'!$1:$7</definedName>
    <definedName name="_xlnm.Print_Titles" localSheetId="1">'MAYIS-2026'!$1:$7</definedName>
    <definedName name="_xlnm.Print_Titles" localSheetId="2">'NİSAN 2026'!$1:$7</definedName>
    <definedName name="_xlnm.Print_Titles" localSheetId="5">'OCAK 2026'!$1:$7</definedName>
    <definedName name="_xlnm.Print_Titles" localSheetId="4">'ŞUBAT 2026'!$1:$7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L45" i="117" l="1"/>
  <c r="AO45" i="117" s="1"/>
  <c r="AL44" i="117"/>
  <c r="AO44" i="117" s="1"/>
  <c r="AL43" i="117"/>
  <c r="AL42" i="117"/>
  <c r="AL41" i="117"/>
  <c r="AL40" i="117"/>
  <c r="AL39" i="117"/>
  <c r="AL38" i="117"/>
  <c r="AL37" i="117"/>
  <c r="AO37" i="117" s="1"/>
  <c r="AL36" i="117"/>
  <c r="AO36" i="117" s="1"/>
  <c r="AL35" i="117"/>
  <c r="AL34" i="117"/>
  <c r="AO34" i="117" s="1"/>
  <c r="AL33" i="117"/>
  <c r="AO33" i="117" s="1"/>
  <c r="AL32" i="117"/>
  <c r="AO32" i="117" s="1"/>
  <c r="AL31" i="117"/>
  <c r="AO31" i="117" s="1"/>
  <c r="AL30" i="117"/>
  <c r="AO30" i="117" s="1"/>
  <c r="AL29" i="117"/>
  <c r="AO29" i="117" s="1"/>
  <c r="AL28" i="117"/>
  <c r="AO28" i="117" s="1"/>
  <c r="AL27" i="117"/>
  <c r="AO27" i="117" s="1"/>
  <c r="AL26" i="117"/>
  <c r="AO26" i="117" s="1"/>
  <c r="AL25" i="117"/>
  <c r="AO25" i="117" s="1"/>
  <c r="AL24" i="117"/>
  <c r="AO24" i="117" s="1"/>
  <c r="AL23" i="117"/>
  <c r="AO23" i="117" s="1"/>
  <c r="AL22" i="117"/>
  <c r="AO22" i="117" s="1"/>
  <c r="AL21" i="117"/>
  <c r="AO21" i="117" s="1"/>
  <c r="AL20" i="117"/>
  <c r="AO20" i="117" s="1"/>
  <c r="AL19" i="117"/>
  <c r="AO19" i="117" s="1"/>
  <c r="AL18" i="117"/>
  <c r="AO18" i="117" s="1"/>
  <c r="AL17" i="117"/>
  <c r="AO17" i="117" s="1"/>
  <c r="AL16" i="117"/>
  <c r="AO16" i="117" s="1"/>
  <c r="AL15" i="117"/>
  <c r="AO15" i="117" s="1"/>
  <c r="AL14" i="117"/>
  <c r="AO14" i="117" s="1"/>
  <c r="AL13" i="117"/>
  <c r="AO13" i="117" s="1"/>
  <c r="AL12" i="117"/>
  <c r="AO12" i="117" s="1"/>
  <c r="AL11" i="117"/>
  <c r="AO11" i="117" s="1"/>
  <c r="AL10" i="117"/>
  <c r="AO10" i="117" s="1"/>
  <c r="AL9" i="117"/>
  <c r="AO9" i="117" s="1"/>
  <c r="AL8" i="117"/>
  <c r="AO8" i="117" s="1"/>
  <c r="AL45" i="116"/>
  <c r="AO45" i="116" s="1"/>
  <c r="AL44" i="116"/>
  <c r="AO44" i="116" s="1"/>
  <c r="AL43" i="116"/>
  <c r="AL42" i="116"/>
  <c r="AL41" i="116"/>
  <c r="AL40" i="116"/>
  <c r="AL39" i="116"/>
  <c r="AL38" i="116"/>
  <c r="AL37" i="116"/>
  <c r="AO37" i="116" s="1"/>
  <c r="AL36" i="116"/>
  <c r="AO36" i="116" s="1"/>
  <c r="AL35" i="116"/>
  <c r="AL34" i="116"/>
  <c r="AO34" i="116" s="1"/>
  <c r="AL33" i="116"/>
  <c r="AO33" i="116" s="1"/>
  <c r="AL32" i="116"/>
  <c r="AO32" i="116" s="1"/>
  <c r="AL31" i="116"/>
  <c r="AO31" i="116" s="1"/>
  <c r="AL30" i="116"/>
  <c r="AO30" i="116" s="1"/>
  <c r="AL29" i="116"/>
  <c r="AO29" i="116" s="1"/>
  <c r="AL28" i="116"/>
  <c r="AO28" i="116" s="1"/>
  <c r="AL27" i="116"/>
  <c r="AO27" i="116" s="1"/>
  <c r="AL26" i="116"/>
  <c r="AO26" i="116" s="1"/>
  <c r="AL25" i="116"/>
  <c r="AO25" i="116" s="1"/>
  <c r="AL24" i="116"/>
  <c r="AO24" i="116" s="1"/>
  <c r="AL23" i="116"/>
  <c r="AO23" i="116" s="1"/>
  <c r="AL22" i="116"/>
  <c r="AO22" i="116" s="1"/>
  <c r="AL21" i="116"/>
  <c r="AO21" i="116" s="1"/>
  <c r="AL20" i="116"/>
  <c r="AO20" i="116" s="1"/>
  <c r="AL19" i="116"/>
  <c r="AO19" i="116" s="1"/>
  <c r="AL18" i="116"/>
  <c r="AO18" i="116" s="1"/>
  <c r="AL17" i="116"/>
  <c r="AO17" i="116" s="1"/>
  <c r="AL16" i="116"/>
  <c r="AO16" i="116" s="1"/>
  <c r="AL15" i="116"/>
  <c r="AO15" i="116" s="1"/>
  <c r="AL14" i="116"/>
  <c r="AO14" i="116" s="1"/>
  <c r="AL13" i="116"/>
  <c r="AO13" i="116" s="1"/>
  <c r="AL12" i="116"/>
  <c r="AO12" i="116" s="1"/>
  <c r="AL11" i="116"/>
  <c r="AO11" i="116" s="1"/>
  <c r="AL10" i="116"/>
  <c r="AO10" i="116" s="1"/>
  <c r="AL9" i="116"/>
  <c r="AO9" i="116" s="1"/>
  <c r="AL8" i="116"/>
  <c r="AO8" i="116" s="1"/>
  <c r="AL9" i="114"/>
  <c r="AO9" i="114" s="1"/>
  <c r="AL10" i="114"/>
  <c r="AL11" i="114"/>
  <c r="AL12" i="114"/>
  <c r="AO12" i="114" s="1"/>
  <c r="AL13" i="114"/>
  <c r="AL14" i="114"/>
  <c r="AO14" i="114" s="1"/>
  <c r="AL15" i="114"/>
  <c r="AL16" i="114"/>
  <c r="AL17" i="114"/>
  <c r="AO17" i="114" s="1"/>
  <c r="AL18" i="114"/>
  <c r="AL19" i="114"/>
  <c r="AL20" i="114"/>
  <c r="AO20" i="114" s="1"/>
  <c r="AL21" i="114"/>
  <c r="AL22" i="114"/>
  <c r="AO22" i="114" s="1"/>
  <c r="AL23" i="114"/>
  <c r="AL24" i="114"/>
  <c r="AL25" i="114"/>
  <c r="AO25" i="114" s="1"/>
  <c r="AL26" i="114"/>
  <c r="AL27" i="114"/>
  <c r="AL28" i="114"/>
  <c r="AO28" i="114" s="1"/>
  <c r="AL29" i="114"/>
  <c r="AO29" i="114" s="1"/>
  <c r="AL30" i="114"/>
  <c r="AO30" i="114" s="1"/>
  <c r="AL31" i="114"/>
  <c r="AL32" i="114"/>
  <c r="AL33" i="114"/>
  <c r="AO33" i="114" s="1"/>
  <c r="AL34" i="114"/>
  <c r="AL35" i="114"/>
  <c r="AL36" i="114"/>
  <c r="AO36" i="114" s="1"/>
  <c r="AL37" i="114"/>
  <c r="AL38" i="114"/>
  <c r="AL39" i="114"/>
  <c r="AL40" i="114"/>
  <c r="AL41" i="114"/>
  <c r="AL42" i="114"/>
  <c r="AL43" i="114"/>
  <c r="AL44" i="114"/>
  <c r="AL45" i="114"/>
  <c r="AL46" i="114"/>
  <c r="AO46" i="114"/>
  <c r="AO45" i="114"/>
  <c r="AO38" i="114"/>
  <c r="AO37" i="114"/>
  <c r="AO34" i="114"/>
  <c r="AO32" i="114"/>
  <c r="AO31" i="114"/>
  <c r="AO27" i="114"/>
  <c r="AO26" i="114"/>
  <c r="AO24" i="114"/>
  <c r="AO23" i="114"/>
  <c r="AO21" i="114"/>
  <c r="AO19" i="114"/>
  <c r="AO18" i="114"/>
  <c r="AO16" i="114"/>
  <c r="AO15" i="114"/>
  <c r="AO13" i="114"/>
  <c r="AO11" i="114"/>
  <c r="AO10" i="114"/>
  <c r="AL8" i="114"/>
  <c r="AO8" i="114" s="1"/>
  <c r="AL36" i="113"/>
  <c r="AL37" i="113"/>
  <c r="AO37" i="113" s="1"/>
  <c r="AL38" i="113"/>
  <c r="AO38" i="113" s="1"/>
  <c r="AL39" i="113"/>
  <c r="AO39" i="113" s="1"/>
  <c r="AL40" i="113"/>
  <c r="AL41" i="113"/>
  <c r="AL42" i="113"/>
  <c r="AL43" i="113"/>
  <c r="AL44" i="113"/>
  <c r="AL45" i="113"/>
  <c r="AO45" i="113" s="1"/>
  <c r="AL46" i="113"/>
  <c r="AO46" i="113"/>
  <c r="AL35" i="113"/>
  <c r="AO35" i="113" s="1"/>
  <c r="AL34" i="113"/>
  <c r="AO34" i="113" s="1"/>
  <c r="AL33" i="113"/>
  <c r="AO33" i="113" s="1"/>
  <c r="AL32" i="113"/>
  <c r="AO32" i="113" s="1"/>
  <c r="AL31" i="113"/>
  <c r="AO31" i="113" s="1"/>
  <c r="AL30" i="113"/>
  <c r="AO30" i="113" s="1"/>
  <c r="AL29" i="113"/>
  <c r="AO29" i="113" s="1"/>
  <c r="AL28" i="113"/>
  <c r="AO28" i="113" s="1"/>
  <c r="AL27" i="113"/>
  <c r="AO27" i="113" s="1"/>
  <c r="AL26" i="113"/>
  <c r="AO26" i="113" s="1"/>
  <c r="AL25" i="113"/>
  <c r="AO25" i="113" s="1"/>
  <c r="AL24" i="113"/>
  <c r="AO24" i="113" s="1"/>
  <c r="AL23" i="113"/>
  <c r="AO23" i="113" s="1"/>
  <c r="AL22" i="113"/>
  <c r="AO22" i="113" s="1"/>
  <c r="AL21" i="113"/>
  <c r="AO21" i="113" s="1"/>
  <c r="AL20" i="113"/>
  <c r="AO20" i="113" s="1"/>
  <c r="AL19" i="113"/>
  <c r="AO19" i="113" s="1"/>
  <c r="AL18" i="113"/>
  <c r="AO18" i="113" s="1"/>
  <c r="AL17" i="113"/>
  <c r="AO17" i="113" s="1"/>
  <c r="AL16" i="113"/>
  <c r="AO16" i="113" s="1"/>
  <c r="AL15" i="113"/>
  <c r="AO15" i="113" s="1"/>
  <c r="AL14" i="113"/>
  <c r="AO14" i="113" s="1"/>
  <c r="AL13" i="113"/>
  <c r="AO13" i="113" s="1"/>
  <c r="AL12" i="113"/>
  <c r="AO12" i="113" s="1"/>
  <c r="AL11" i="113"/>
  <c r="AO11" i="113" s="1"/>
  <c r="AL10" i="113"/>
  <c r="AO10" i="113" s="1"/>
  <c r="AL9" i="113"/>
  <c r="AO9" i="113" s="1"/>
  <c r="AL8" i="113"/>
  <c r="AO8" i="113" s="1"/>
  <c r="AM45" i="112" l="1"/>
  <c r="AP45" i="112" s="1"/>
  <c r="AM44" i="112"/>
  <c r="AP44" i="112" s="1"/>
  <c r="AM43" i="112"/>
  <c r="AM42" i="112"/>
  <c r="AM41" i="112"/>
  <c r="AM40" i="112"/>
  <c r="AM39" i="112"/>
  <c r="AP39" i="112" s="1"/>
  <c r="AM38" i="112"/>
  <c r="AP38" i="112" s="1"/>
  <c r="AM37" i="112"/>
  <c r="AP37" i="112" s="1"/>
  <c r="AM36" i="112"/>
  <c r="AM35" i="112"/>
  <c r="AP35" i="112" s="1"/>
  <c r="AM34" i="112"/>
  <c r="AP34" i="112" s="1"/>
  <c r="AP33" i="112"/>
  <c r="AM33" i="112"/>
  <c r="AM32" i="112"/>
  <c r="AP32" i="112" s="1"/>
  <c r="AM31" i="112"/>
  <c r="AP31" i="112" s="1"/>
  <c r="AP30" i="112"/>
  <c r="AM30" i="112"/>
  <c r="AM29" i="112"/>
  <c r="AP29" i="112" s="1"/>
  <c r="AM28" i="112"/>
  <c r="AP28" i="112" s="1"/>
  <c r="AP27" i="112"/>
  <c r="AM27" i="112"/>
  <c r="AM26" i="112"/>
  <c r="AP26" i="112" s="1"/>
  <c r="AM25" i="112"/>
  <c r="AP25" i="112" s="1"/>
  <c r="AP24" i="112"/>
  <c r="AM24" i="112"/>
  <c r="AM23" i="112"/>
  <c r="AP23" i="112" s="1"/>
  <c r="AM22" i="112"/>
  <c r="AP22" i="112" s="1"/>
  <c r="AP21" i="112"/>
  <c r="AM21" i="112"/>
  <c r="AM20" i="112"/>
  <c r="AP20" i="112" s="1"/>
  <c r="AM19" i="112"/>
  <c r="AP19" i="112" s="1"/>
  <c r="AP18" i="112"/>
  <c r="AM18" i="112"/>
  <c r="AM17" i="112"/>
  <c r="AP17" i="112" s="1"/>
  <c r="AM16" i="112"/>
  <c r="AP16" i="112" s="1"/>
  <c r="AP15" i="112"/>
  <c r="AM15" i="112"/>
  <c r="AM14" i="112"/>
  <c r="AP14" i="112" s="1"/>
  <c r="AM13" i="112"/>
  <c r="AP13" i="112" s="1"/>
  <c r="AP12" i="112"/>
  <c r="AM12" i="112"/>
  <c r="AM11" i="112"/>
  <c r="AP11" i="112" s="1"/>
  <c r="AM10" i="112"/>
  <c r="AP10" i="112" s="1"/>
  <c r="AP9" i="112"/>
  <c r="AM9" i="112"/>
  <c r="AM8" i="112"/>
  <c r="AP8" i="112" s="1"/>
  <c r="AM35" i="1"/>
  <c r="AM36" i="1"/>
  <c r="AM40" i="1"/>
  <c r="AM41" i="1"/>
  <c r="AM42" i="1"/>
  <c r="AM43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P20" i="1" s="1"/>
  <c r="AM21" i="1"/>
  <c r="AP21" i="1" s="1"/>
  <c r="AM22" i="1"/>
  <c r="AP22" i="1" s="1"/>
  <c r="AM23" i="1"/>
  <c r="AP23" i="1" s="1"/>
  <c r="AM24" i="1"/>
  <c r="AP24" i="1" s="1"/>
  <c r="AM25" i="1"/>
  <c r="AP25" i="1" s="1"/>
  <c r="AM26" i="1"/>
  <c r="AP26" i="1" s="1"/>
  <c r="AM27" i="1"/>
  <c r="AP27" i="1" s="1"/>
  <c r="AM28" i="1"/>
  <c r="AP28" i="1" s="1"/>
  <c r="AM29" i="1"/>
  <c r="AP29" i="1" s="1"/>
  <c r="AM30" i="1"/>
  <c r="AP30" i="1" s="1"/>
  <c r="AM31" i="1"/>
  <c r="AP31" i="1" s="1"/>
  <c r="AM32" i="1"/>
  <c r="AP32" i="1" s="1"/>
  <c r="AM33" i="1"/>
  <c r="AP33" i="1" s="1"/>
  <c r="AM34" i="1"/>
  <c r="AP34" i="1" s="1"/>
  <c r="AP35" i="1"/>
  <c r="AM37" i="1"/>
  <c r="AP37" i="1" s="1"/>
  <c r="AM38" i="1"/>
  <c r="AP38" i="1" s="1"/>
  <c r="AM39" i="1"/>
  <c r="AP39" i="1" s="1"/>
  <c r="AM44" i="1"/>
  <c r="AP44" i="1" s="1"/>
  <c r="AM45" i="1"/>
  <c r="AP45" i="1" s="1"/>
  <c r="AM8" i="1"/>
  <c r="AP17" i="1" l="1"/>
  <c r="AP14" i="1" l="1"/>
  <c r="AP15" i="1"/>
  <c r="AP16" i="1"/>
  <c r="AP18" i="1"/>
  <c r="AP19" i="1"/>
  <c r="AP8" i="1" l="1"/>
  <c r="AP9" i="1" l="1"/>
  <c r="AP10" i="1"/>
  <c r="AP11" i="1"/>
  <c r="AP12" i="1"/>
  <c r="AP13" i="1"/>
  <c r="B36" i="111" l="1"/>
  <c r="B35" i="111"/>
  <c r="B34" i="111"/>
  <c r="B33" i="111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7" i="111"/>
  <c r="B6" i="111"/>
  <c r="B5" i="111"/>
  <c r="B4" i="111"/>
  <c r="B36" i="110"/>
  <c r="B35" i="110"/>
  <c r="B34" i="110"/>
  <c r="B33" i="110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7" i="110"/>
  <c r="B6" i="110"/>
  <c r="B5" i="110"/>
  <c r="B4" i="110"/>
  <c r="B36" i="109"/>
  <c r="B35" i="109"/>
  <c r="B34" i="109"/>
  <c r="B33" i="109"/>
  <c r="B32" i="109"/>
  <c r="B31" i="109"/>
  <c r="B30" i="109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7" i="109"/>
  <c r="B6" i="109"/>
  <c r="B5" i="109"/>
  <c r="B4" i="109"/>
  <c r="B36" i="108"/>
  <c r="B35" i="108"/>
  <c r="B34" i="108"/>
  <c r="B33" i="108"/>
  <c r="B32" i="108"/>
  <c r="B31" i="108"/>
  <c r="B30" i="108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7" i="108"/>
  <c r="B6" i="108"/>
  <c r="B5" i="108"/>
  <c r="B4" i="108"/>
  <c r="B36" i="107"/>
  <c r="B35" i="107"/>
  <c r="B34" i="107"/>
  <c r="B33" i="107"/>
  <c r="B32" i="107"/>
  <c r="B31" i="107"/>
  <c r="B30" i="107"/>
  <c r="B29" i="107"/>
  <c r="B28" i="107"/>
  <c r="B27" i="107"/>
  <c r="B26" i="107"/>
  <c r="B25" i="107"/>
  <c r="B24" i="107"/>
  <c r="B23" i="107"/>
  <c r="B22" i="107"/>
  <c r="B21" i="107"/>
  <c r="B20" i="107"/>
  <c r="B19" i="107"/>
  <c r="B18" i="107"/>
  <c r="B17" i="107"/>
  <c r="B16" i="107"/>
  <c r="B15" i="107"/>
  <c r="B14" i="107"/>
  <c r="B13" i="107"/>
  <c r="B12" i="107"/>
  <c r="B11" i="107"/>
  <c r="B10" i="107"/>
  <c r="B9" i="107"/>
  <c r="B7" i="107"/>
  <c r="B6" i="107"/>
  <c r="B5" i="107"/>
  <c r="B4" i="107"/>
  <c r="B36" i="106"/>
  <c r="B35" i="106"/>
  <c r="B34" i="106"/>
  <c r="B33" i="106"/>
  <c r="B32" i="106"/>
  <c r="B31" i="106"/>
  <c r="B30" i="106"/>
  <c r="B29" i="106"/>
  <c r="B28" i="106"/>
  <c r="B27" i="106"/>
  <c r="B26" i="106"/>
  <c r="B25" i="106"/>
  <c r="B24" i="106"/>
  <c r="B23" i="106"/>
  <c r="B22" i="106"/>
  <c r="B21" i="106"/>
  <c r="B20" i="106"/>
  <c r="B19" i="106"/>
  <c r="B18" i="106"/>
  <c r="B17" i="106"/>
  <c r="B16" i="106"/>
  <c r="B15" i="106"/>
  <c r="B14" i="106"/>
  <c r="B13" i="106"/>
  <c r="B12" i="106"/>
  <c r="B11" i="106"/>
  <c r="B10" i="106"/>
  <c r="B9" i="106"/>
  <c r="B7" i="106"/>
  <c r="B6" i="106"/>
  <c r="B5" i="106"/>
  <c r="B4" i="106"/>
  <c r="B36" i="105"/>
  <c r="B35" i="105"/>
  <c r="B34" i="105"/>
  <c r="B33" i="105"/>
  <c r="B32" i="105"/>
  <c r="B31" i="105"/>
  <c r="B30" i="105"/>
  <c r="B29" i="105"/>
  <c r="B28" i="105"/>
  <c r="B27" i="105"/>
  <c r="B26" i="105"/>
  <c r="B25" i="105"/>
  <c r="B24" i="105"/>
  <c r="B23" i="105"/>
  <c r="B22" i="105"/>
  <c r="B21" i="105"/>
  <c r="B20" i="105"/>
  <c r="B19" i="105"/>
  <c r="B18" i="105"/>
  <c r="B17" i="105"/>
  <c r="B16" i="105"/>
  <c r="B15" i="105"/>
  <c r="B14" i="105"/>
  <c r="B13" i="105"/>
  <c r="B12" i="105"/>
  <c r="B11" i="105"/>
  <c r="B10" i="105"/>
  <c r="B9" i="105"/>
  <c r="B7" i="105"/>
  <c r="B6" i="105"/>
  <c r="B5" i="105"/>
  <c r="B4" i="105"/>
  <c r="B36" i="104"/>
  <c r="B35" i="104"/>
  <c r="B34" i="104"/>
  <c r="B33" i="104"/>
  <c r="B32" i="104"/>
  <c r="B31" i="104"/>
  <c r="B30" i="104"/>
  <c r="B29" i="104"/>
  <c r="B28" i="104"/>
  <c r="B27" i="104"/>
  <c r="B26" i="104"/>
  <c r="B25" i="104"/>
  <c r="B24" i="104"/>
  <c r="B23" i="104"/>
  <c r="B22" i="104"/>
  <c r="B21" i="104"/>
  <c r="B20" i="104"/>
  <c r="B19" i="104"/>
  <c r="B18" i="104"/>
  <c r="B17" i="104"/>
  <c r="B16" i="104"/>
  <c r="B15" i="104"/>
  <c r="B14" i="104"/>
  <c r="B13" i="104"/>
  <c r="B12" i="104"/>
  <c r="B11" i="104"/>
  <c r="B10" i="104"/>
  <c r="B9" i="104"/>
  <c r="B7" i="104"/>
  <c r="B6" i="104"/>
  <c r="B5" i="104"/>
  <c r="B4" i="104"/>
  <c r="B36" i="103"/>
  <c r="B35" i="103"/>
  <c r="B34" i="103"/>
  <c r="B33" i="103"/>
  <c r="B32" i="103"/>
  <c r="B31" i="103"/>
  <c r="B30" i="103"/>
  <c r="B29" i="103"/>
  <c r="B28" i="103"/>
  <c r="B27" i="103"/>
  <c r="B26" i="103"/>
  <c r="B25" i="103"/>
  <c r="B24" i="103"/>
  <c r="B23" i="103"/>
  <c r="B22" i="103"/>
  <c r="B21" i="103"/>
  <c r="B20" i="103"/>
  <c r="B19" i="103"/>
  <c r="B18" i="103"/>
  <c r="B17" i="103"/>
  <c r="B16" i="103"/>
  <c r="B15" i="103"/>
  <c r="B14" i="103"/>
  <c r="B13" i="103"/>
  <c r="B12" i="103"/>
  <c r="B11" i="103"/>
  <c r="B10" i="103"/>
  <c r="B9" i="103"/>
  <c r="B7" i="103"/>
  <c r="B6" i="103"/>
  <c r="B5" i="103"/>
  <c r="B4" i="103"/>
  <c r="B36" i="102"/>
  <c r="B35" i="102"/>
  <c r="B34" i="102"/>
  <c r="B33" i="102"/>
  <c r="B32" i="102"/>
  <c r="B31" i="102"/>
  <c r="B30" i="102"/>
  <c r="B29" i="102"/>
  <c r="B28" i="102"/>
  <c r="B27" i="102"/>
  <c r="B26" i="102"/>
  <c r="B25" i="102"/>
  <c r="B24" i="102"/>
  <c r="B23" i="102"/>
  <c r="B22" i="102"/>
  <c r="B21" i="102"/>
  <c r="B20" i="102"/>
  <c r="B19" i="102"/>
  <c r="B18" i="102"/>
  <c r="B17" i="102"/>
  <c r="B16" i="102"/>
  <c r="B15" i="102"/>
  <c r="B14" i="102"/>
  <c r="B13" i="102"/>
  <c r="B12" i="102"/>
  <c r="B11" i="102"/>
  <c r="B10" i="102"/>
  <c r="B9" i="102"/>
  <c r="B7" i="102"/>
  <c r="B6" i="102"/>
  <c r="B5" i="102"/>
  <c r="B4" i="102"/>
  <c r="B36" i="101"/>
  <c r="B35" i="101"/>
  <c r="B34" i="101"/>
  <c r="B33" i="101"/>
  <c r="B32" i="101"/>
  <c r="B31" i="101"/>
  <c r="B30" i="101"/>
  <c r="B29" i="101"/>
  <c r="B28" i="101"/>
  <c r="B27" i="101"/>
  <c r="B26" i="101"/>
  <c r="B25" i="101"/>
  <c r="B24" i="101"/>
  <c r="B23" i="101"/>
  <c r="B22" i="101"/>
  <c r="B21" i="101"/>
  <c r="B20" i="101"/>
  <c r="B19" i="101"/>
  <c r="B18" i="101"/>
  <c r="B17" i="101"/>
  <c r="B16" i="101"/>
  <c r="B15" i="101"/>
  <c r="B14" i="101"/>
  <c r="B13" i="101"/>
  <c r="B12" i="101"/>
  <c r="B11" i="101"/>
  <c r="B10" i="101"/>
  <c r="B9" i="101"/>
  <c r="B7" i="101"/>
  <c r="B6" i="101"/>
  <c r="B5" i="101"/>
  <c r="B4" i="101"/>
  <c r="B36" i="100"/>
  <c r="B35" i="100"/>
  <c r="B34" i="100"/>
  <c r="B33" i="100"/>
  <c r="B32" i="100"/>
  <c r="B31" i="100"/>
  <c r="B30" i="100"/>
  <c r="B29" i="100"/>
  <c r="B28" i="100"/>
  <c r="B27" i="100"/>
  <c r="B26" i="100"/>
  <c r="B25" i="100"/>
  <c r="B24" i="100"/>
  <c r="B23" i="100"/>
  <c r="B22" i="100"/>
  <c r="B21" i="100"/>
  <c r="B20" i="100"/>
  <c r="B19" i="100"/>
  <c r="B18" i="100"/>
  <c r="B17" i="100"/>
  <c r="B16" i="100"/>
  <c r="B15" i="100"/>
  <c r="B14" i="100"/>
  <c r="B13" i="100"/>
  <c r="B12" i="100"/>
  <c r="B11" i="100"/>
  <c r="B10" i="100"/>
  <c r="B9" i="100"/>
  <c r="B7" i="100"/>
  <c r="B6" i="100"/>
  <c r="B5" i="100"/>
  <c r="B4" i="100"/>
  <c r="B36" i="99"/>
  <c r="B35" i="99"/>
  <c r="B34" i="99"/>
  <c r="B33" i="99"/>
  <c r="B32" i="99"/>
  <c r="B31" i="99"/>
  <c r="B30" i="99"/>
  <c r="B29" i="99"/>
  <c r="B28" i="99"/>
  <c r="B27" i="99"/>
  <c r="B26" i="99"/>
  <c r="B25" i="99"/>
  <c r="B24" i="99"/>
  <c r="B23" i="99"/>
  <c r="B22" i="99"/>
  <c r="B21" i="99"/>
  <c r="B20" i="99"/>
  <c r="B19" i="99"/>
  <c r="B18" i="99"/>
  <c r="B17" i="99"/>
  <c r="B16" i="99"/>
  <c r="B15" i="99"/>
  <c r="B14" i="99"/>
  <c r="B13" i="99"/>
  <c r="B12" i="99"/>
  <c r="B11" i="99"/>
  <c r="B10" i="99"/>
  <c r="B9" i="99"/>
  <c r="B7" i="99"/>
  <c r="B6" i="99"/>
  <c r="B5" i="99"/>
  <c r="B4" i="99"/>
  <c r="B36" i="98"/>
  <c r="B35" i="98"/>
  <c r="B34" i="98"/>
  <c r="B33" i="98"/>
  <c r="B32" i="98"/>
  <c r="B31" i="98"/>
  <c r="B30" i="98"/>
  <c r="B29" i="98"/>
  <c r="B28" i="98"/>
  <c r="B27" i="98"/>
  <c r="B26" i="98"/>
  <c r="B25" i="98"/>
  <c r="B24" i="98"/>
  <c r="B23" i="98"/>
  <c r="B22" i="98"/>
  <c r="B21" i="98"/>
  <c r="B20" i="98"/>
  <c r="B19" i="98"/>
  <c r="B18" i="98"/>
  <c r="B17" i="98"/>
  <c r="B16" i="98"/>
  <c r="B15" i="98"/>
  <c r="B14" i="98"/>
  <c r="B13" i="98"/>
  <c r="B12" i="98"/>
  <c r="B11" i="98"/>
  <c r="B10" i="98"/>
  <c r="B9" i="98"/>
  <c r="B7" i="98"/>
  <c r="B6" i="98"/>
  <c r="B5" i="98"/>
  <c r="B4" i="98"/>
  <c r="B36" i="97"/>
  <c r="B35" i="97"/>
  <c r="B34" i="97"/>
  <c r="B33" i="97"/>
  <c r="B32" i="97"/>
  <c r="B31" i="97"/>
  <c r="B30" i="97"/>
  <c r="B29" i="97"/>
  <c r="B28" i="97"/>
  <c r="B27" i="97"/>
  <c r="B26" i="97"/>
  <c r="B25" i="97"/>
  <c r="B24" i="97"/>
  <c r="B23" i="97"/>
  <c r="B22" i="97"/>
  <c r="B21" i="97"/>
  <c r="B20" i="97"/>
  <c r="B19" i="97"/>
  <c r="B18" i="97"/>
  <c r="B17" i="97"/>
  <c r="B16" i="97"/>
  <c r="B15" i="97"/>
  <c r="B14" i="97"/>
  <c r="B13" i="97"/>
  <c r="B12" i="97"/>
  <c r="B11" i="97"/>
  <c r="B10" i="97"/>
  <c r="B9" i="97"/>
  <c r="B7" i="97"/>
  <c r="B6" i="97"/>
  <c r="B5" i="97"/>
  <c r="B4" i="97"/>
  <c r="B36" i="96"/>
  <c r="B35" i="96"/>
  <c r="B34" i="96"/>
  <c r="B33" i="96"/>
  <c r="B32" i="96"/>
  <c r="B31" i="96"/>
  <c r="B30" i="96"/>
  <c r="B29" i="96"/>
  <c r="B28" i="96"/>
  <c r="B27" i="96"/>
  <c r="B26" i="96"/>
  <c r="B25" i="96"/>
  <c r="B24" i="96"/>
  <c r="B23" i="96"/>
  <c r="B22" i="96"/>
  <c r="B21" i="96"/>
  <c r="B20" i="96"/>
  <c r="B19" i="96"/>
  <c r="B18" i="96"/>
  <c r="B17" i="96"/>
  <c r="B16" i="96"/>
  <c r="B15" i="96"/>
  <c r="B14" i="96"/>
  <c r="B13" i="96"/>
  <c r="B12" i="96"/>
  <c r="B11" i="96"/>
  <c r="B10" i="96"/>
  <c r="B9" i="96"/>
  <c r="B7" i="96"/>
  <c r="B6" i="96"/>
  <c r="B5" i="96"/>
  <c r="B4" i="96"/>
  <c r="B36" i="95"/>
  <c r="B35" i="95"/>
  <c r="B34" i="95"/>
  <c r="B33" i="95"/>
  <c r="B32" i="95"/>
  <c r="B31" i="95"/>
  <c r="B30" i="95"/>
  <c r="B29" i="95"/>
  <c r="B28" i="95"/>
  <c r="B27" i="95"/>
  <c r="B26" i="95"/>
  <c r="B25" i="95"/>
  <c r="B24" i="95"/>
  <c r="B23" i="95"/>
  <c r="B22" i="95"/>
  <c r="B21" i="95"/>
  <c r="B20" i="95"/>
  <c r="B19" i="95"/>
  <c r="B18" i="95"/>
  <c r="B17" i="95"/>
  <c r="B16" i="95"/>
  <c r="B15" i="95"/>
  <c r="B14" i="95"/>
  <c r="B13" i="95"/>
  <c r="B12" i="95"/>
  <c r="B11" i="95"/>
  <c r="B10" i="95"/>
  <c r="B9" i="95"/>
  <c r="B7" i="95"/>
  <c r="B6" i="95"/>
  <c r="B5" i="95"/>
  <c r="B4" i="95"/>
  <c r="B40" i="107" l="1"/>
  <c r="B40" i="97"/>
  <c r="B40" i="98"/>
  <c r="B40" i="101"/>
  <c r="B40" i="110"/>
  <c r="B40" i="96"/>
  <c r="B40" i="103"/>
  <c r="B40" i="106"/>
  <c r="B40" i="104"/>
  <c r="B40" i="99"/>
  <c r="B40" i="109"/>
  <c r="B40" i="111"/>
  <c r="B40" i="108"/>
  <c r="B40" i="105"/>
  <c r="B40" i="102"/>
  <c r="B40" i="100"/>
  <c r="B40" i="95"/>
  <c r="B36" i="94"/>
  <c r="B35" i="94"/>
  <c r="B34" i="94"/>
  <c r="B33" i="94"/>
  <c r="B32" i="94"/>
  <c r="B31" i="94"/>
  <c r="B30" i="94"/>
  <c r="B29" i="94"/>
  <c r="B28" i="94"/>
  <c r="B27" i="94"/>
  <c r="B26" i="94"/>
  <c r="B25" i="94"/>
  <c r="B24" i="94"/>
  <c r="B23" i="94"/>
  <c r="B22" i="94"/>
  <c r="B21" i="94"/>
  <c r="B20" i="94"/>
  <c r="B19" i="94"/>
  <c r="B18" i="94"/>
  <c r="B17" i="94"/>
  <c r="B16" i="94"/>
  <c r="B15" i="94"/>
  <c r="B14" i="94"/>
  <c r="B13" i="94"/>
  <c r="B12" i="94"/>
  <c r="B11" i="94"/>
  <c r="B10" i="94"/>
  <c r="B9" i="94"/>
  <c r="B7" i="94"/>
  <c r="B6" i="94"/>
  <c r="B5" i="94"/>
  <c r="B4" i="94"/>
  <c r="B36" i="93"/>
  <c r="B35" i="93"/>
  <c r="B34" i="93"/>
  <c r="B33" i="93"/>
  <c r="B32" i="93"/>
  <c r="B31" i="93"/>
  <c r="B30" i="93"/>
  <c r="B29" i="93"/>
  <c r="B28" i="93"/>
  <c r="B27" i="93"/>
  <c r="B26" i="93"/>
  <c r="B25" i="93"/>
  <c r="B24" i="93"/>
  <c r="B23" i="93"/>
  <c r="B22" i="93"/>
  <c r="B21" i="93"/>
  <c r="B20" i="93"/>
  <c r="B19" i="93"/>
  <c r="B18" i="93"/>
  <c r="B17" i="93"/>
  <c r="B16" i="93"/>
  <c r="B15" i="93"/>
  <c r="B14" i="93"/>
  <c r="B13" i="93"/>
  <c r="B12" i="93"/>
  <c r="B11" i="93"/>
  <c r="B10" i="93"/>
  <c r="B9" i="93"/>
  <c r="B7" i="93"/>
  <c r="B6" i="93"/>
  <c r="B5" i="93"/>
  <c r="B4" i="93"/>
  <c r="B36" i="92"/>
  <c r="B35" i="92"/>
  <c r="B34" i="92"/>
  <c r="B33" i="92"/>
  <c r="B32" i="92"/>
  <c r="B31" i="92"/>
  <c r="B30" i="92"/>
  <c r="B29" i="92"/>
  <c r="B28" i="92"/>
  <c r="B27" i="92"/>
  <c r="B26" i="92"/>
  <c r="B25" i="92"/>
  <c r="B24" i="92"/>
  <c r="B23" i="92"/>
  <c r="B22" i="92"/>
  <c r="B21" i="92"/>
  <c r="B20" i="92"/>
  <c r="B19" i="92"/>
  <c r="B18" i="92"/>
  <c r="B17" i="92"/>
  <c r="B16" i="92"/>
  <c r="B15" i="92"/>
  <c r="B14" i="92"/>
  <c r="B13" i="92"/>
  <c r="B12" i="92"/>
  <c r="B11" i="92"/>
  <c r="B10" i="92"/>
  <c r="B9" i="92"/>
  <c r="B7" i="92"/>
  <c r="B6" i="92"/>
  <c r="B5" i="92"/>
  <c r="B4" i="92"/>
  <c r="B40" i="94" l="1"/>
  <c r="B40" i="92"/>
  <c r="B40" i="93"/>
  <c r="B10" i="91" l="1"/>
  <c r="B11" i="91"/>
  <c r="B12" i="91"/>
  <c r="B13" i="91"/>
  <c r="B14" i="91"/>
  <c r="B15" i="91"/>
  <c r="B16" i="91"/>
  <c r="B17" i="91"/>
  <c r="B18" i="91"/>
  <c r="B19" i="91"/>
  <c r="B20" i="91"/>
  <c r="B21" i="91"/>
  <c r="B22" i="91"/>
  <c r="B23" i="91"/>
  <c r="B24" i="91"/>
  <c r="B25" i="91"/>
  <c r="B26" i="91"/>
  <c r="B27" i="91"/>
  <c r="B28" i="91"/>
  <c r="B29" i="91"/>
  <c r="B30" i="91"/>
  <c r="B31" i="91"/>
  <c r="B32" i="91"/>
  <c r="B33" i="91"/>
  <c r="B34" i="91"/>
  <c r="B35" i="91"/>
  <c r="B36" i="91"/>
  <c r="B10" i="90"/>
  <c r="B11" i="90"/>
  <c r="B12" i="90"/>
  <c r="B13" i="90"/>
  <c r="B14" i="90"/>
  <c r="B15" i="90"/>
  <c r="B16" i="90"/>
  <c r="B17" i="90"/>
  <c r="B18" i="90"/>
  <c r="B19" i="90"/>
  <c r="B20" i="90"/>
  <c r="B21" i="90"/>
  <c r="B22" i="90"/>
  <c r="B23" i="90"/>
  <c r="B24" i="90"/>
  <c r="B25" i="90"/>
  <c r="B26" i="90"/>
  <c r="B27" i="90"/>
  <c r="B28" i="90"/>
  <c r="B29" i="90"/>
  <c r="B30" i="90"/>
  <c r="B31" i="90"/>
  <c r="B32" i="90"/>
  <c r="B33" i="90"/>
  <c r="B34" i="90"/>
  <c r="B35" i="90"/>
  <c r="B36" i="90"/>
  <c r="B10" i="89"/>
  <c r="B11" i="89"/>
  <c r="B12" i="89"/>
  <c r="B13" i="89"/>
  <c r="B14" i="89"/>
  <c r="B15" i="89"/>
  <c r="B16" i="89"/>
  <c r="B17" i="89"/>
  <c r="B18" i="89"/>
  <c r="B19" i="89"/>
  <c r="B20" i="89"/>
  <c r="B21" i="89"/>
  <c r="B22" i="89"/>
  <c r="B23" i="89"/>
  <c r="B24" i="89"/>
  <c r="B25" i="89"/>
  <c r="B26" i="89"/>
  <c r="B27" i="89"/>
  <c r="B28" i="89"/>
  <c r="B29" i="89"/>
  <c r="B30" i="89"/>
  <c r="B31" i="89"/>
  <c r="B32" i="89"/>
  <c r="B33" i="89"/>
  <c r="B34" i="89"/>
  <c r="B35" i="89"/>
  <c r="B36" i="89"/>
  <c r="B10" i="88"/>
  <c r="B11" i="88"/>
  <c r="B12" i="88"/>
  <c r="B13" i="88"/>
  <c r="B14" i="88"/>
  <c r="B15" i="88"/>
  <c r="B16" i="88"/>
  <c r="B17" i="88"/>
  <c r="B18" i="88"/>
  <c r="B19" i="88"/>
  <c r="B20" i="88"/>
  <c r="B21" i="88"/>
  <c r="B22" i="88"/>
  <c r="B23" i="88"/>
  <c r="B24" i="88"/>
  <c r="B25" i="88"/>
  <c r="B26" i="88"/>
  <c r="B27" i="88"/>
  <c r="B28" i="88"/>
  <c r="B29" i="88"/>
  <c r="B30" i="88"/>
  <c r="B31" i="88"/>
  <c r="B32" i="88"/>
  <c r="B33" i="88"/>
  <c r="B34" i="88"/>
  <c r="B35" i="88"/>
  <c r="B36" i="88"/>
  <c r="B10" i="87"/>
  <c r="B11" i="87"/>
  <c r="B12" i="87"/>
  <c r="B13" i="87"/>
  <c r="B14" i="87"/>
  <c r="B15" i="87"/>
  <c r="B16" i="87"/>
  <c r="B17" i="87"/>
  <c r="B18" i="87"/>
  <c r="B19" i="87"/>
  <c r="B20" i="87"/>
  <c r="B21" i="87"/>
  <c r="B22" i="87"/>
  <c r="B23" i="87"/>
  <c r="B24" i="87"/>
  <c r="B25" i="87"/>
  <c r="B26" i="87"/>
  <c r="B27" i="87"/>
  <c r="B28" i="87"/>
  <c r="B29" i="87"/>
  <c r="B30" i="87"/>
  <c r="B31" i="87"/>
  <c r="B32" i="87"/>
  <c r="B33" i="87"/>
  <c r="B34" i="87"/>
  <c r="B35" i="87"/>
  <c r="B36" i="87"/>
  <c r="B10" i="86"/>
  <c r="B11" i="86"/>
  <c r="B12" i="86"/>
  <c r="B13" i="86"/>
  <c r="B14" i="86"/>
  <c r="B15" i="86"/>
  <c r="B16" i="86"/>
  <c r="B17" i="86"/>
  <c r="B18" i="86"/>
  <c r="B19" i="86"/>
  <c r="B20" i="86"/>
  <c r="B21" i="86"/>
  <c r="B22" i="86"/>
  <c r="B23" i="86"/>
  <c r="B24" i="86"/>
  <c r="B25" i="86"/>
  <c r="B26" i="86"/>
  <c r="B27" i="86"/>
  <c r="B28" i="86"/>
  <c r="B29" i="86"/>
  <c r="B30" i="86"/>
  <c r="B31" i="86"/>
  <c r="B32" i="86"/>
  <c r="B33" i="86"/>
  <c r="B34" i="86"/>
  <c r="B35" i="86"/>
  <c r="B36" i="86"/>
  <c r="B10" i="85"/>
  <c r="B11" i="85"/>
  <c r="B12" i="85"/>
  <c r="B13" i="85"/>
  <c r="B14" i="85"/>
  <c r="B15" i="85"/>
  <c r="B16" i="85"/>
  <c r="B17" i="85"/>
  <c r="B18" i="85"/>
  <c r="B19" i="85"/>
  <c r="B20" i="85"/>
  <c r="B21" i="85"/>
  <c r="B22" i="85"/>
  <c r="B23" i="85"/>
  <c r="B24" i="85"/>
  <c r="B25" i="85"/>
  <c r="B26" i="85"/>
  <c r="B27" i="85"/>
  <c r="B28" i="85"/>
  <c r="B29" i="85"/>
  <c r="B30" i="85"/>
  <c r="B31" i="85"/>
  <c r="B32" i="85"/>
  <c r="B33" i="85"/>
  <c r="B34" i="85"/>
  <c r="B35" i="85"/>
  <c r="B36" i="85"/>
  <c r="B10" i="84"/>
  <c r="B11" i="84"/>
  <c r="B12" i="84"/>
  <c r="B13" i="84"/>
  <c r="B14" i="84"/>
  <c r="B15" i="84"/>
  <c r="B16" i="84"/>
  <c r="B17" i="84"/>
  <c r="B18" i="84"/>
  <c r="B19" i="84"/>
  <c r="B20" i="84"/>
  <c r="B21" i="84"/>
  <c r="B22" i="84"/>
  <c r="B23" i="84"/>
  <c r="B24" i="84"/>
  <c r="B25" i="84"/>
  <c r="B26" i="84"/>
  <c r="B27" i="84"/>
  <c r="B28" i="84"/>
  <c r="B29" i="84"/>
  <c r="B30" i="84"/>
  <c r="B31" i="84"/>
  <c r="B32" i="84"/>
  <c r="B33" i="84"/>
  <c r="B34" i="84"/>
  <c r="B35" i="84"/>
  <c r="B36" i="84"/>
  <c r="B10" i="83"/>
  <c r="B11" i="83"/>
  <c r="B12" i="83"/>
  <c r="B13" i="83"/>
  <c r="B14" i="83"/>
  <c r="B15" i="83"/>
  <c r="B16" i="83"/>
  <c r="B17" i="83"/>
  <c r="B18" i="83"/>
  <c r="B19" i="83"/>
  <c r="B20" i="83"/>
  <c r="B21" i="83"/>
  <c r="B22" i="83"/>
  <c r="B23" i="83"/>
  <c r="B24" i="83"/>
  <c r="B25" i="83"/>
  <c r="B26" i="83"/>
  <c r="B27" i="83"/>
  <c r="B28" i="83"/>
  <c r="B29" i="83"/>
  <c r="B30" i="83"/>
  <c r="B31" i="83"/>
  <c r="B32" i="83"/>
  <c r="B33" i="83"/>
  <c r="B34" i="83"/>
  <c r="B35" i="83"/>
  <c r="B36" i="83"/>
  <c r="B10" i="82"/>
  <c r="B11" i="82"/>
  <c r="B12" i="82"/>
  <c r="B13" i="82"/>
  <c r="B14" i="82"/>
  <c r="B15" i="82"/>
  <c r="B16" i="82"/>
  <c r="B17" i="82"/>
  <c r="B18" i="82"/>
  <c r="B19" i="82"/>
  <c r="B20" i="82"/>
  <c r="B21" i="82"/>
  <c r="B22" i="82"/>
  <c r="B23" i="82"/>
  <c r="B24" i="82"/>
  <c r="B25" i="82"/>
  <c r="B26" i="82"/>
  <c r="B27" i="82"/>
  <c r="B28" i="82"/>
  <c r="B29" i="82"/>
  <c r="B30" i="82"/>
  <c r="B31" i="82"/>
  <c r="B32" i="82"/>
  <c r="B33" i="82"/>
  <c r="B34" i="82"/>
  <c r="B35" i="82"/>
  <c r="B36" i="82"/>
  <c r="B10" i="81"/>
  <c r="B11" i="81"/>
  <c r="B12" i="81"/>
  <c r="B13" i="81"/>
  <c r="B14" i="81"/>
  <c r="B15" i="81"/>
  <c r="B16" i="81"/>
  <c r="B17" i="81"/>
  <c r="B18" i="81"/>
  <c r="B19" i="81"/>
  <c r="B20" i="81"/>
  <c r="B21" i="81"/>
  <c r="B22" i="81"/>
  <c r="B23" i="81"/>
  <c r="B24" i="81"/>
  <c r="B25" i="81"/>
  <c r="B26" i="81"/>
  <c r="B27" i="81"/>
  <c r="B28" i="81"/>
  <c r="B29" i="81"/>
  <c r="B30" i="81"/>
  <c r="B31" i="81"/>
  <c r="B32" i="81"/>
  <c r="B33" i="81"/>
  <c r="B34" i="81"/>
  <c r="B35" i="81"/>
  <c r="B36" i="81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32" i="80"/>
  <c r="B33" i="80"/>
  <c r="B34" i="80"/>
  <c r="B35" i="80"/>
  <c r="B36" i="80"/>
  <c r="B10" i="79"/>
  <c r="B11" i="79"/>
  <c r="B12" i="79"/>
  <c r="B13" i="79"/>
  <c r="B14" i="79"/>
  <c r="B15" i="79"/>
  <c r="B16" i="79"/>
  <c r="B17" i="79"/>
  <c r="B18" i="79"/>
  <c r="B19" i="79"/>
  <c r="B20" i="79"/>
  <c r="B21" i="79"/>
  <c r="B22" i="79"/>
  <c r="B23" i="79"/>
  <c r="B24" i="79"/>
  <c r="B25" i="79"/>
  <c r="B26" i="79"/>
  <c r="B27" i="79"/>
  <c r="B28" i="79"/>
  <c r="B29" i="79"/>
  <c r="B30" i="79"/>
  <c r="B31" i="79"/>
  <c r="B32" i="79"/>
  <c r="B33" i="79"/>
  <c r="B34" i="79"/>
  <c r="B35" i="79"/>
  <c r="B36" i="79"/>
  <c r="B10" i="78"/>
  <c r="B11" i="78"/>
  <c r="B12" i="78"/>
  <c r="B13" i="78"/>
  <c r="B14" i="78"/>
  <c r="B15" i="78"/>
  <c r="B16" i="78"/>
  <c r="B17" i="78"/>
  <c r="B18" i="78"/>
  <c r="B19" i="78"/>
  <c r="B20" i="78"/>
  <c r="B21" i="78"/>
  <c r="B22" i="78"/>
  <c r="B23" i="78"/>
  <c r="B24" i="78"/>
  <c r="B25" i="78"/>
  <c r="B26" i="78"/>
  <c r="B27" i="78"/>
  <c r="B28" i="78"/>
  <c r="B29" i="78"/>
  <c r="B30" i="78"/>
  <c r="B31" i="78"/>
  <c r="B32" i="78"/>
  <c r="B33" i="78"/>
  <c r="B34" i="78"/>
  <c r="B35" i="78"/>
  <c r="B36" i="78"/>
  <c r="B10" i="77"/>
  <c r="B11" i="77"/>
  <c r="B12" i="77"/>
  <c r="B13" i="77"/>
  <c r="B14" i="77"/>
  <c r="B15" i="77"/>
  <c r="B16" i="77"/>
  <c r="B17" i="77"/>
  <c r="B18" i="77"/>
  <c r="B19" i="77"/>
  <c r="B20" i="77"/>
  <c r="B21" i="77"/>
  <c r="B22" i="77"/>
  <c r="B23" i="77"/>
  <c r="B24" i="77"/>
  <c r="B25" i="77"/>
  <c r="B26" i="77"/>
  <c r="B27" i="77"/>
  <c r="B28" i="77"/>
  <c r="B29" i="77"/>
  <c r="B30" i="77"/>
  <c r="B31" i="77"/>
  <c r="B32" i="77"/>
  <c r="B33" i="77"/>
  <c r="B34" i="77"/>
  <c r="B35" i="77"/>
  <c r="B36" i="77"/>
  <c r="B10" i="76"/>
  <c r="B11" i="76"/>
  <c r="B12" i="76"/>
  <c r="B13" i="76"/>
  <c r="B14" i="76"/>
  <c r="B15" i="76"/>
  <c r="B16" i="76"/>
  <c r="B17" i="76"/>
  <c r="B18" i="76"/>
  <c r="B19" i="76"/>
  <c r="B20" i="76"/>
  <c r="B21" i="76"/>
  <c r="B22" i="76"/>
  <c r="B23" i="76"/>
  <c r="B24" i="76"/>
  <c r="B25" i="76"/>
  <c r="B26" i="76"/>
  <c r="B27" i="76"/>
  <c r="B28" i="76"/>
  <c r="B29" i="76"/>
  <c r="B30" i="76"/>
  <c r="B31" i="76"/>
  <c r="B32" i="76"/>
  <c r="B33" i="76"/>
  <c r="B34" i="76"/>
  <c r="B35" i="76"/>
  <c r="B36" i="76"/>
  <c r="B10" i="75"/>
  <c r="B11" i="75"/>
  <c r="B12" i="75"/>
  <c r="B13" i="75"/>
  <c r="B14" i="75"/>
  <c r="B15" i="75"/>
  <c r="B16" i="75"/>
  <c r="B17" i="75"/>
  <c r="B18" i="75"/>
  <c r="B19" i="75"/>
  <c r="B20" i="75"/>
  <c r="B21" i="75"/>
  <c r="B22" i="75"/>
  <c r="B23" i="75"/>
  <c r="B24" i="75"/>
  <c r="B25" i="75"/>
  <c r="B26" i="75"/>
  <c r="B27" i="75"/>
  <c r="B28" i="75"/>
  <c r="B29" i="75"/>
  <c r="B30" i="75"/>
  <c r="B31" i="75"/>
  <c r="B32" i="75"/>
  <c r="B33" i="75"/>
  <c r="B34" i="75"/>
  <c r="B35" i="75"/>
  <c r="B36" i="75"/>
  <c r="B10" i="74"/>
  <c r="B11" i="74"/>
  <c r="B12" i="74"/>
  <c r="B13" i="74"/>
  <c r="B14" i="74"/>
  <c r="B15" i="74"/>
  <c r="B16" i="74"/>
  <c r="B17" i="74"/>
  <c r="B18" i="74"/>
  <c r="B19" i="74"/>
  <c r="B20" i="74"/>
  <c r="B21" i="74"/>
  <c r="B22" i="74"/>
  <c r="B23" i="74"/>
  <c r="B24" i="74"/>
  <c r="B25" i="74"/>
  <c r="B26" i="74"/>
  <c r="B27" i="74"/>
  <c r="B28" i="74"/>
  <c r="B29" i="74"/>
  <c r="B30" i="74"/>
  <c r="B31" i="74"/>
  <c r="B32" i="74"/>
  <c r="B33" i="74"/>
  <c r="B34" i="74"/>
  <c r="B35" i="74"/>
  <c r="B36" i="74"/>
  <c r="B10" i="73"/>
  <c r="B11" i="73"/>
  <c r="B12" i="73"/>
  <c r="B13" i="73"/>
  <c r="B14" i="73"/>
  <c r="B15" i="73"/>
  <c r="B16" i="73"/>
  <c r="B17" i="73"/>
  <c r="B18" i="73"/>
  <c r="B19" i="73"/>
  <c r="B20" i="73"/>
  <c r="B21" i="73"/>
  <c r="B22" i="73"/>
  <c r="B23" i="73"/>
  <c r="B24" i="73"/>
  <c r="B25" i="73"/>
  <c r="B26" i="73"/>
  <c r="B27" i="73"/>
  <c r="B28" i="73"/>
  <c r="B29" i="73"/>
  <c r="B30" i="73"/>
  <c r="B31" i="73"/>
  <c r="B32" i="73"/>
  <c r="B33" i="73"/>
  <c r="B34" i="73"/>
  <c r="B35" i="73"/>
  <c r="B36" i="73"/>
  <c r="B10" i="72"/>
  <c r="B11" i="72"/>
  <c r="B12" i="72"/>
  <c r="B13" i="72"/>
  <c r="B14" i="72"/>
  <c r="B15" i="72"/>
  <c r="B16" i="72"/>
  <c r="B17" i="72"/>
  <c r="B18" i="72"/>
  <c r="B19" i="72"/>
  <c r="B20" i="72"/>
  <c r="B21" i="72"/>
  <c r="B22" i="72"/>
  <c r="B23" i="72"/>
  <c r="B24" i="72"/>
  <c r="B25" i="72"/>
  <c r="B26" i="72"/>
  <c r="B27" i="72"/>
  <c r="B28" i="72"/>
  <c r="B29" i="72"/>
  <c r="B30" i="72"/>
  <c r="B31" i="72"/>
  <c r="B32" i="72"/>
  <c r="B33" i="72"/>
  <c r="B34" i="72"/>
  <c r="B35" i="72"/>
  <c r="B36" i="72"/>
  <c r="B10" i="71"/>
  <c r="B11" i="71"/>
  <c r="B12" i="71"/>
  <c r="B13" i="71"/>
  <c r="B14" i="71"/>
  <c r="B15" i="71"/>
  <c r="B16" i="71"/>
  <c r="B17" i="71"/>
  <c r="B18" i="71"/>
  <c r="B19" i="71"/>
  <c r="B20" i="71"/>
  <c r="B21" i="71"/>
  <c r="B22" i="71"/>
  <c r="B23" i="71"/>
  <c r="B24" i="71"/>
  <c r="B25" i="71"/>
  <c r="B26" i="71"/>
  <c r="B27" i="71"/>
  <c r="B28" i="71"/>
  <c r="B29" i="71"/>
  <c r="B30" i="71"/>
  <c r="B31" i="71"/>
  <c r="B32" i="71"/>
  <c r="B33" i="71"/>
  <c r="B34" i="71"/>
  <c r="B35" i="71"/>
  <c r="B36" i="71"/>
  <c r="B10" i="70"/>
  <c r="B11" i="70"/>
  <c r="B12" i="70"/>
  <c r="B13" i="70"/>
  <c r="B14" i="70"/>
  <c r="B15" i="70"/>
  <c r="B16" i="70"/>
  <c r="B17" i="70"/>
  <c r="B18" i="70"/>
  <c r="B19" i="70"/>
  <c r="B20" i="70"/>
  <c r="B21" i="70"/>
  <c r="B22" i="70"/>
  <c r="B23" i="70"/>
  <c r="B24" i="70"/>
  <c r="B25" i="70"/>
  <c r="B26" i="70"/>
  <c r="B27" i="70"/>
  <c r="B28" i="70"/>
  <c r="B29" i="70"/>
  <c r="B30" i="70"/>
  <c r="B31" i="70"/>
  <c r="B32" i="70"/>
  <c r="B33" i="70"/>
  <c r="B34" i="70"/>
  <c r="B35" i="70"/>
  <c r="B36" i="70"/>
  <c r="B10" i="69"/>
  <c r="B11" i="69"/>
  <c r="B12" i="69"/>
  <c r="B13" i="69"/>
  <c r="B14" i="69"/>
  <c r="B15" i="69"/>
  <c r="B16" i="69"/>
  <c r="B17" i="69"/>
  <c r="B18" i="69"/>
  <c r="B19" i="69"/>
  <c r="B20" i="69"/>
  <c r="B21" i="69"/>
  <c r="B22" i="69"/>
  <c r="B23" i="69"/>
  <c r="B24" i="69"/>
  <c r="B25" i="69"/>
  <c r="B26" i="69"/>
  <c r="B27" i="69"/>
  <c r="B28" i="69"/>
  <c r="B29" i="69"/>
  <c r="B30" i="69"/>
  <c r="B31" i="69"/>
  <c r="B32" i="69"/>
  <c r="B33" i="69"/>
  <c r="B34" i="69"/>
  <c r="B35" i="69"/>
  <c r="B36" i="69"/>
  <c r="B10" i="68"/>
  <c r="B11" i="68"/>
  <c r="B12" i="68"/>
  <c r="B13" i="68"/>
  <c r="B14" i="68"/>
  <c r="B15" i="68"/>
  <c r="B16" i="68"/>
  <c r="B17" i="68"/>
  <c r="B18" i="68"/>
  <c r="B19" i="68"/>
  <c r="B20" i="68"/>
  <c r="B21" i="68"/>
  <c r="B22" i="68"/>
  <c r="B23" i="68"/>
  <c r="B24" i="68"/>
  <c r="B25" i="68"/>
  <c r="B26" i="68"/>
  <c r="B27" i="68"/>
  <c r="B28" i="68"/>
  <c r="B29" i="68"/>
  <c r="B30" i="68"/>
  <c r="B31" i="68"/>
  <c r="B32" i="68"/>
  <c r="B33" i="68"/>
  <c r="B34" i="68"/>
  <c r="B35" i="68"/>
  <c r="B36" i="68"/>
  <c r="B10" i="67"/>
  <c r="B11" i="67"/>
  <c r="B12" i="67"/>
  <c r="B13" i="67"/>
  <c r="B14" i="67"/>
  <c r="B15" i="67"/>
  <c r="B16" i="67"/>
  <c r="B17" i="67"/>
  <c r="B18" i="67"/>
  <c r="B19" i="67"/>
  <c r="B20" i="67"/>
  <c r="B21" i="67"/>
  <c r="B22" i="67"/>
  <c r="B23" i="67"/>
  <c r="B24" i="67"/>
  <c r="B25" i="67"/>
  <c r="B26" i="67"/>
  <c r="B27" i="67"/>
  <c r="B28" i="67"/>
  <c r="B29" i="67"/>
  <c r="B30" i="67"/>
  <c r="B31" i="67"/>
  <c r="B32" i="67"/>
  <c r="B33" i="67"/>
  <c r="B34" i="67"/>
  <c r="B35" i="67"/>
  <c r="B36" i="67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24" i="66"/>
  <c r="B25" i="66"/>
  <c r="B26" i="66"/>
  <c r="B27" i="66"/>
  <c r="B28" i="66"/>
  <c r="B29" i="66"/>
  <c r="B30" i="66"/>
  <c r="B31" i="66"/>
  <c r="B32" i="66"/>
  <c r="B33" i="66"/>
  <c r="B34" i="66"/>
  <c r="B35" i="66"/>
  <c r="B36" i="66"/>
  <c r="B10" i="65"/>
  <c r="B11" i="65"/>
  <c r="B12" i="65"/>
  <c r="B13" i="65"/>
  <c r="B14" i="65"/>
  <c r="B15" i="65"/>
  <c r="B16" i="65"/>
  <c r="B17" i="65"/>
  <c r="B18" i="65"/>
  <c r="B19" i="65"/>
  <c r="B20" i="65"/>
  <c r="B21" i="65"/>
  <c r="B22" i="65"/>
  <c r="B23" i="65"/>
  <c r="B24" i="65"/>
  <c r="B25" i="65"/>
  <c r="B26" i="65"/>
  <c r="B27" i="65"/>
  <c r="B28" i="65"/>
  <c r="B29" i="65"/>
  <c r="B30" i="65"/>
  <c r="B31" i="65"/>
  <c r="B32" i="65"/>
  <c r="B33" i="65"/>
  <c r="B34" i="65"/>
  <c r="B35" i="65"/>
  <c r="B36" i="65"/>
  <c r="B10" i="64"/>
  <c r="B11" i="64"/>
  <c r="B12" i="64"/>
  <c r="B13" i="64"/>
  <c r="B14" i="64"/>
  <c r="B15" i="64"/>
  <c r="B16" i="64"/>
  <c r="B17" i="64"/>
  <c r="B18" i="64"/>
  <c r="B19" i="64"/>
  <c r="B20" i="64"/>
  <c r="B21" i="64"/>
  <c r="B22" i="64"/>
  <c r="B23" i="64"/>
  <c r="B24" i="64"/>
  <c r="B25" i="64"/>
  <c r="B26" i="64"/>
  <c r="B27" i="64"/>
  <c r="B28" i="64"/>
  <c r="B29" i="64"/>
  <c r="B30" i="64"/>
  <c r="B31" i="64"/>
  <c r="B32" i="64"/>
  <c r="B33" i="64"/>
  <c r="B34" i="64"/>
  <c r="B35" i="64"/>
  <c r="B36" i="64"/>
  <c r="B10" i="63"/>
  <c r="B11" i="63"/>
  <c r="B12" i="63"/>
  <c r="B13" i="63"/>
  <c r="B14" i="63"/>
  <c r="B15" i="63"/>
  <c r="B16" i="63"/>
  <c r="B17" i="63"/>
  <c r="B18" i="63"/>
  <c r="B19" i="63"/>
  <c r="B20" i="63"/>
  <c r="B21" i="63"/>
  <c r="B22" i="63"/>
  <c r="B23" i="63"/>
  <c r="B24" i="63"/>
  <c r="B25" i="63"/>
  <c r="B26" i="63"/>
  <c r="B27" i="63"/>
  <c r="B28" i="63"/>
  <c r="B29" i="63"/>
  <c r="B30" i="63"/>
  <c r="B31" i="63"/>
  <c r="B32" i="63"/>
  <c r="B33" i="63"/>
  <c r="B34" i="63"/>
  <c r="B35" i="63"/>
  <c r="B36" i="63"/>
  <c r="B10" i="62"/>
  <c r="B11" i="62"/>
  <c r="B12" i="62"/>
  <c r="B13" i="62"/>
  <c r="B14" i="62"/>
  <c r="B15" i="62"/>
  <c r="B16" i="62"/>
  <c r="B17" i="62"/>
  <c r="B18" i="62"/>
  <c r="B19" i="62"/>
  <c r="B20" i="62"/>
  <c r="B21" i="62"/>
  <c r="B22" i="62"/>
  <c r="B23" i="62"/>
  <c r="B24" i="62"/>
  <c r="B25" i="62"/>
  <c r="B26" i="62"/>
  <c r="B27" i="62"/>
  <c r="B28" i="62"/>
  <c r="B29" i="62"/>
  <c r="B30" i="62"/>
  <c r="B31" i="62"/>
  <c r="B32" i="62"/>
  <c r="B33" i="62"/>
  <c r="B34" i="62"/>
  <c r="B35" i="62"/>
  <c r="B36" i="62"/>
  <c r="B10" i="61"/>
  <c r="B11" i="61"/>
  <c r="B12" i="61"/>
  <c r="B13" i="61"/>
  <c r="B14" i="61"/>
  <c r="B15" i="61"/>
  <c r="B16" i="61"/>
  <c r="B17" i="61"/>
  <c r="B18" i="61"/>
  <c r="B19" i="61"/>
  <c r="B20" i="61"/>
  <c r="B21" i="61"/>
  <c r="B22" i="61"/>
  <c r="B23" i="61"/>
  <c r="B24" i="61"/>
  <c r="B25" i="61"/>
  <c r="B26" i="61"/>
  <c r="B27" i="61"/>
  <c r="B28" i="61"/>
  <c r="B29" i="61"/>
  <c r="B30" i="61"/>
  <c r="B31" i="61"/>
  <c r="B32" i="61"/>
  <c r="B33" i="61"/>
  <c r="B34" i="61"/>
  <c r="B35" i="61"/>
  <c r="B36" i="61"/>
  <c r="B10" i="60"/>
  <c r="B11" i="60"/>
  <c r="B12" i="60"/>
  <c r="B13" i="60"/>
  <c r="B14" i="60"/>
  <c r="B15" i="60"/>
  <c r="B16" i="60"/>
  <c r="B17" i="60"/>
  <c r="B18" i="60"/>
  <c r="B19" i="60"/>
  <c r="B20" i="60"/>
  <c r="B21" i="60"/>
  <c r="B22" i="60"/>
  <c r="B23" i="60"/>
  <c r="B24" i="60"/>
  <c r="B25" i="60"/>
  <c r="B26" i="60"/>
  <c r="B27" i="60"/>
  <c r="B28" i="60"/>
  <c r="B29" i="60"/>
  <c r="B30" i="60"/>
  <c r="B31" i="60"/>
  <c r="B32" i="60"/>
  <c r="B33" i="60"/>
  <c r="B34" i="60"/>
  <c r="B35" i="60"/>
  <c r="B36" i="60"/>
  <c r="B10" i="59"/>
  <c r="B11" i="59"/>
  <c r="B12" i="59"/>
  <c r="B13" i="59"/>
  <c r="B14" i="59"/>
  <c r="B15" i="59"/>
  <c r="B16" i="59"/>
  <c r="B17" i="59"/>
  <c r="B18" i="59"/>
  <c r="B19" i="59"/>
  <c r="B20" i="59"/>
  <c r="B21" i="59"/>
  <c r="B22" i="59"/>
  <c r="B23" i="59"/>
  <c r="B24" i="59"/>
  <c r="B25" i="59"/>
  <c r="B26" i="59"/>
  <c r="B27" i="59"/>
  <c r="B28" i="59"/>
  <c r="B29" i="59"/>
  <c r="B30" i="59"/>
  <c r="B31" i="59"/>
  <c r="B32" i="59"/>
  <c r="B33" i="59"/>
  <c r="B34" i="59"/>
  <c r="B35" i="59"/>
  <c r="B36" i="59"/>
  <c r="B10" i="58"/>
  <c r="B11" i="58"/>
  <c r="B12" i="58"/>
  <c r="B13" i="58"/>
  <c r="B14" i="58"/>
  <c r="B15" i="58"/>
  <c r="B16" i="58"/>
  <c r="B17" i="58"/>
  <c r="B18" i="58"/>
  <c r="B19" i="58"/>
  <c r="B20" i="58"/>
  <c r="B21" i="58"/>
  <c r="B22" i="58"/>
  <c r="B23" i="58"/>
  <c r="B24" i="58"/>
  <c r="B25" i="58"/>
  <c r="B26" i="58"/>
  <c r="B27" i="58"/>
  <c r="B28" i="58"/>
  <c r="B29" i="58"/>
  <c r="B30" i="58"/>
  <c r="B31" i="58"/>
  <c r="B32" i="58"/>
  <c r="B33" i="58"/>
  <c r="B34" i="58"/>
  <c r="B35" i="58"/>
  <c r="B36" i="58"/>
  <c r="B10" i="57"/>
  <c r="B11" i="57"/>
  <c r="B12" i="57"/>
  <c r="B13" i="57"/>
  <c r="B14" i="57"/>
  <c r="B15" i="57"/>
  <c r="B16" i="57"/>
  <c r="B17" i="57"/>
  <c r="B18" i="57"/>
  <c r="B19" i="57"/>
  <c r="B20" i="57"/>
  <c r="B21" i="57"/>
  <c r="B22" i="57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10" i="55"/>
  <c r="B11" i="55"/>
  <c r="B12" i="55"/>
  <c r="B13" i="55"/>
  <c r="B14" i="55"/>
  <c r="B15" i="55"/>
  <c r="B16" i="55"/>
  <c r="B17" i="55"/>
  <c r="B18" i="55"/>
  <c r="B19" i="55"/>
  <c r="B20" i="55"/>
  <c r="B21" i="55"/>
  <c r="B22" i="55"/>
  <c r="B23" i="55"/>
  <c r="B24" i="55"/>
  <c r="B25" i="55"/>
  <c r="B26" i="55"/>
  <c r="B27" i="55"/>
  <c r="B28" i="55"/>
  <c r="B29" i="55"/>
  <c r="B30" i="55"/>
  <c r="B31" i="55"/>
  <c r="B32" i="55"/>
  <c r="B33" i="55"/>
  <c r="B34" i="55"/>
  <c r="B35" i="55"/>
  <c r="B36" i="55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9" i="54"/>
  <c r="B30" i="54"/>
  <c r="B31" i="54"/>
  <c r="B32" i="54"/>
  <c r="B33" i="54"/>
  <c r="B34" i="54"/>
  <c r="B35" i="54"/>
  <c r="B36" i="54"/>
  <c r="B10" i="53"/>
  <c r="B11" i="53"/>
  <c r="B12" i="53"/>
  <c r="B13" i="53"/>
  <c r="B14" i="53"/>
  <c r="B15" i="53"/>
  <c r="B16" i="53"/>
  <c r="B17" i="53"/>
  <c r="B18" i="53"/>
  <c r="B19" i="53"/>
  <c r="B20" i="53"/>
  <c r="B21" i="53"/>
  <c r="B22" i="53"/>
  <c r="B23" i="53"/>
  <c r="B24" i="53"/>
  <c r="B25" i="53"/>
  <c r="B26" i="53"/>
  <c r="B27" i="53"/>
  <c r="B28" i="53"/>
  <c r="B29" i="53"/>
  <c r="B30" i="53"/>
  <c r="B31" i="53"/>
  <c r="B32" i="53"/>
  <c r="B33" i="53"/>
  <c r="B34" i="53"/>
  <c r="B35" i="53"/>
  <c r="B36" i="53"/>
  <c r="B10" i="52"/>
  <c r="B11" i="52"/>
  <c r="B12" i="52"/>
  <c r="B13" i="52"/>
  <c r="B14" i="52"/>
  <c r="B15" i="52"/>
  <c r="B16" i="52"/>
  <c r="B17" i="52"/>
  <c r="B18" i="52"/>
  <c r="B19" i="52"/>
  <c r="B20" i="52"/>
  <c r="B21" i="52"/>
  <c r="B22" i="52"/>
  <c r="B23" i="52"/>
  <c r="B24" i="52"/>
  <c r="B25" i="52"/>
  <c r="B26" i="52"/>
  <c r="B27" i="52"/>
  <c r="B28" i="52"/>
  <c r="B29" i="52"/>
  <c r="B30" i="52"/>
  <c r="B31" i="52"/>
  <c r="B32" i="52"/>
  <c r="B33" i="52"/>
  <c r="B34" i="52"/>
  <c r="B35" i="52"/>
  <c r="B36" i="52"/>
  <c r="B10" i="51"/>
  <c r="B11" i="51"/>
  <c r="B12" i="51"/>
  <c r="B13" i="51"/>
  <c r="B14" i="51"/>
  <c r="B15" i="51"/>
  <c r="B16" i="51"/>
  <c r="B17" i="51"/>
  <c r="B18" i="51"/>
  <c r="B19" i="51"/>
  <c r="B20" i="51"/>
  <c r="B21" i="51"/>
  <c r="B22" i="51"/>
  <c r="B23" i="51"/>
  <c r="B24" i="51"/>
  <c r="B25" i="51"/>
  <c r="B26" i="51"/>
  <c r="B27" i="51"/>
  <c r="B28" i="51"/>
  <c r="B29" i="51"/>
  <c r="B30" i="51"/>
  <c r="B31" i="51"/>
  <c r="B32" i="51"/>
  <c r="B33" i="51"/>
  <c r="B34" i="51"/>
  <c r="B35" i="51"/>
  <c r="B36" i="51"/>
  <c r="B10" i="50"/>
  <c r="B11" i="50"/>
  <c r="B12" i="50"/>
  <c r="B13" i="50"/>
  <c r="B14" i="50"/>
  <c r="B15" i="50"/>
  <c r="B16" i="50"/>
  <c r="B17" i="50"/>
  <c r="B18" i="50"/>
  <c r="B19" i="50"/>
  <c r="B20" i="50"/>
  <c r="B21" i="50"/>
  <c r="B22" i="50"/>
  <c r="B23" i="50"/>
  <c r="B24" i="50"/>
  <c r="B25" i="50"/>
  <c r="B26" i="50"/>
  <c r="B27" i="50"/>
  <c r="B28" i="50"/>
  <c r="B29" i="50"/>
  <c r="B30" i="50"/>
  <c r="B31" i="50"/>
  <c r="B32" i="50"/>
  <c r="B33" i="50"/>
  <c r="B34" i="50"/>
  <c r="B35" i="50"/>
  <c r="B36" i="50"/>
  <c r="B10" i="49"/>
  <c r="B11" i="49"/>
  <c r="B12" i="49"/>
  <c r="B13" i="49"/>
  <c r="B14" i="49"/>
  <c r="B15" i="49"/>
  <c r="B16" i="49"/>
  <c r="B17" i="49"/>
  <c r="B18" i="49"/>
  <c r="B19" i="49"/>
  <c r="B20" i="49"/>
  <c r="B21" i="49"/>
  <c r="B22" i="49"/>
  <c r="B23" i="49"/>
  <c r="B24" i="49"/>
  <c r="B25" i="49"/>
  <c r="B26" i="49"/>
  <c r="B27" i="49"/>
  <c r="B28" i="49"/>
  <c r="B29" i="49"/>
  <c r="B30" i="49"/>
  <c r="B31" i="49"/>
  <c r="B32" i="49"/>
  <c r="B33" i="49"/>
  <c r="B34" i="49"/>
  <c r="B35" i="49"/>
  <c r="B36" i="49"/>
  <c r="B10" i="48"/>
  <c r="B11" i="48"/>
  <c r="B12" i="48"/>
  <c r="B13" i="48"/>
  <c r="B14" i="48"/>
  <c r="B15" i="48"/>
  <c r="B16" i="48"/>
  <c r="B17" i="48"/>
  <c r="B18" i="48"/>
  <c r="B19" i="48"/>
  <c r="B20" i="48"/>
  <c r="B21" i="48"/>
  <c r="B22" i="48"/>
  <c r="B23" i="48"/>
  <c r="B24" i="48"/>
  <c r="B25" i="48"/>
  <c r="B26" i="48"/>
  <c r="B27" i="48"/>
  <c r="B28" i="48"/>
  <c r="B29" i="48"/>
  <c r="B30" i="48"/>
  <c r="B31" i="48"/>
  <c r="B32" i="48"/>
  <c r="B33" i="48"/>
  <c r="B34" i="48"/>
  <c r="B35" i="48"/>
  <c r="B36" i="48"/>
  <c r="B10" i="47"/>
  <c r="B11" i="47"/>
  <c r="B12" i="47"/>
  <c r="B13" i="47"/>
  <c r="B14" i="47"/>
  <c r="B15" i="47"/>
  <c r="B16" i="47"/>
  <c r="B17" i="47"/>
  <c r="B18" i="47"/>
  <c r="B19" i="47"/>
  <c r="B20" i="47"/>
  <c r="B21" i="47"/>
  <c r="B22" i="47"/>
  <c r="B23" i="47"/>
  <c r="B24" i="47"/>
  <c r="B25" i="47"/>
  <c r="B26" i="47"/>
  <c r="B27" i="47"/>
  <c r="B28" i="47"/>
  <c r="B29" i="47"/>
  <c r="B30" i="47"/>
  <c r="B31" i="47"/>
  <c r="B32" i="47"/>
  <c r="B33" i="47"/>
  <c r="B34" i="47"/>
  <c r="B35" i="47"/>
  <c r="B36" i="47"/>
  <c r="B10" i="46"/>
  <c r="B11" i="46"/>
  <c r="B12" i="46"/>
  <c r="B13" i="46"/>
  <c r="B14" i="46"/>
  <c r="B15" i="46"/>
  <c r="B16" i="46"/>
  <c r="B17" i="46"/>
  <c r="B18" i="46"/>
  <c r="B19" i="46"/>
  <c r="B20" i="46"/>
  <c r="B21" i="46"/>
  <c r="B22" i="46"/>
  <c r="B23" i="46"/>
  <c r="B24" i="46"/>
  <c r="B25" i="46"/>
  <c r="B26" i="46"/>
  <c r="B27" i="46"/>
  <c r="B28" i="46"/>
  <c r="B29" i="46"/>
  <c r="B30" i="46"/>
  <c r="B31" i="46"/>
  <c r="B32" i="46"/>
  <c r="B33" i="46"/>
  <c r="B34" i="46"/>
  <c r="B35" i="46"/>
  <c r="B36" i="46"/>
  <c r="B10" i="45"/>
  <c r="B11" i="45"/>
  <c r="B12" i="45"/>
  <c r="B13" i="45"/>
  <c r="B14" i="45"/>
  <c r="B15" i="45"/>
  <c r="B16" i="45"/>
  <c r="B17" i="45"/>
  <c r="B18" i="45"/>
  <c r="B19" i="45"/>
  <c r="B20" i="45"/>
  <c r="B21" i="45"/>
  <c r="B22" i="45"/>
  <c r="B23" i="45"/>
  <c r="B24" i="45"/>
  <c r="B25" i="45"/>
  <c r="B26" i="45"/>
  <c r="B27" i="45"/>
  <c r="B28" i="45"/>
  <c r="B29" i="45"/>
  <c r="B30" i="45"/>
  <c r="B31" i="45"/>
  <c r="B32" i="45"/>
  <c r="B33" i="45"/>
  <c r="B34" i="45"/>
  <c r="B35" i="45"/>
  <c r="B36" i="45"/>
  <c r="B10" i="44"/>
  <c r="B11" i="44"/>
  <c r="B12" i="44"/>
  <c r="B13" i="44"/>
  <c r="B14" i="44"/>
  <c r="B15" i="44"/>
  <c r="B16" i="44"/>
  <c r="B17" i="44"/>
  <c r="B18" i="44"/>
  <c r="B19" i="44"/>
  <c r="B20" i="44"/>
  <c r="B21" i="44"/>
  <c r="B22" i="44"/>
  <c r="B23" i="44"/>
  <c r="B24" i="44"/>
  <c r="B25" i="44"/>
  <c r="B26" i="44"/>
  <c r="B27" i="44"/>
  <c r="B28" i="44"/>
  <c r="B29" i="44"/>
  <c r="B30" i="44"/>
  <c r="B31" i="44"/>
  <c r="B32" i="44"/>
  <c r="B33" i="44"/>
  <c r="B34" i="44"/>
  <c r="B35" i="44"/>
  <c r="B36" i="44"/>
  <c r="B10" i="43"/>
  <c r="B11" i="43"/>
  <c r="B12" i="43"/>
  <c r="B13" i="43"/>
  <c r="B14" i="43"/>
  <c r="B15" i="43"/>
  <c r="B16" i="43"/>
  <c r="B17" i="43"/>
  <c r="B18" i="43"/>
  <c r="B19" i="43"/>
  <c r="B20" i="43"/>
  <c r="B21" i="43"/>
  <c r="B22" i="43"/>
  <c r="B23" i="43"/>
  <c r="B24" i="43"/>
  <c r="B25" i="43"/>
  <c r="B26" i="43"/>
  <c r="B27" i="43"/>
  <c r="B28" i="43"/>
  <c r="B29" i="43"/>
  <c r="B30" i="43"/>
  <c r="B31" i="43"/>
  <c r="B32" i="43"/>
  <c r="B33" i="43"/>
  <c r="B34" i="43"/>
  <c r="B35" i="43"/>
  <c r="B36" i="43"/>
  <c r="B10" i="42"/>
  <c r="B11" i="42"/>
  <c r="B12" i="42"/>
  <c r="B13" i="42"/>
  <c r="B14" i="42"/>
  <c r="B15" i="42"/>
  <c r="B16" i="42"/>
  <c r="B17" i="42"/>
  <c r="B18" i="42"/>
  <c r="B19" i="42"/>
  <c r="B20" i="42"/>
  <c r="B21" i="42"/>
  <c r="B22" i="42"/>
  <c r="B23" i="42"/>
  <c r="B24" i="42"/>
  <c r="B25" i="42"/>
  <c r="B26" i="42"/>
  <c r="B27" i="42"/>
  <c r="B28" i="42"/>
  <c r="B29" i="42"/>
  <c r="B30" i="42"/>
  <c r="B31" i="42"/>
  <c r="B32" i="42"/>
  <c r="B33" i="42"/>
  <c r="B34" i="42"/>
  <c r="B35" i="42"/>
  <c r="B36" i="42"/>
  <c r="B10" i="41"/>
  <c r="B11" i="41"/>
  <c r="B12" i="41"/>
  <c r="B13" i="41"/>
  <c r="B14" i="41"/>
  <c r="B15" i="41"/>
  <c r="B16" i="41"/>
  <c r="B17" i="41"/>
  <c r="B18" i="41"/>
  <c r="B19" i="41"/>
  <c r="B20" i="41"/>
  <c r="B21" i="41"/>
  <c r="B22" i="41"/>
  <c r="B23" i="41"/>
  <c r="B24" i="41"/>
  <c r="B25" i="41"/>
  <c r="B26" i="41"/>
  <c r="B27" i="41"/>
  <c r="B28" i="41"/>
  <c r="B29" i="41"/>
  <c r="B30" i="41"/>
  <c r="B31" i="41"/>
  <c r="B32" i="41"/>
  <c r="B33" i="41"/>
  <c r="B34" i="41"/>
  <c r="B35" i="41"/>
  <c r="B36" i="41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10" i="39"/>
  <c r="B11" i="39"/>
  <c r="B12" i="39"/>
  <c r="B13" i="39"/>
  <c r="B14" i="39"/>
  <c r="B15" i="39"/>
  <c r="B16" i="39"/>
  <c r="B17" i="39"/>
  <c r="B18" i="39"/>
  <c r="B19" i="39"/>
  <c r="B20" i="39"/>
  <c r="B21" i="39"/>
  <c r="B22" i="39"/>
  <c r="B23" i="39"/>
  <c r="B24" i="39"/>
  <c r="B25" i="39"/>
  <c r="B26" i="39"/>
  <c r="B27" i="39"/>
  <c r="B28" i="39"/>
  <c r="B29" i="39"/>
  <c r="B30" i="39"/>
  <c r="B31" i="39"/>
  <c r="B32" i="39"/>
  <c r="B33" i="39"/>
  <c r="B34" i="39"/>
  <c r="B35" i="39"/>
  <c r="B36" i="39"/>
  <c r="B10" i="38"/>
  <c r="B11" i="38"/>
  <c r="B12" i="38"/>
  <c r="B13" i="38"/>
  <c r="B14" i="38"/>
  <c r="B15" i="38"/>
  <c r="B16" i="38"/>
  <c r="B17" i="38"/>
  <c r="B18" i="38"/>
  <c r="B19" i="38"/>
  <c r="B20" i="38"/>
  <c r="B21" i="38"/>
  <c r="B22" i="38"/>
  <c r="B23" i="38"/>
  <c r="B24" i="38"/>
  <c r="B25" i="38"/>
  <c r="B26" i="38"/>
  <c r="B27" i="38"/>
  <c r="B28" i="38"/>
  <c r="B29" i="38"/>
  <c r="B30" i="38"/>
  <c r="B31" i="38"/>
  <c r="B32" i="38"/>
  <c r="B33" i="38"/>
  <c r="B34" i="38"/>
  <c r="B35" i="38"/>
  <c r="B36" i="38"/>
  <c r="B10" i="37"/>
  <c r="B11" i="37"/>
  <c r="B12" i="37"/>
  <c r="B13" i="37"/>
  <c r="B14" i="37"/>
  <c r="B15" i="37"/>
  <c r="B16" i="37"/>
  <c r="B17" i="37"/>
  <c r="B18" i="37"/>
  <c r="B19" i="37"/>
  <c r="B20" i="37"/>
  <c r="B21" i="37"/>
  <c r="B22" i="37"/>
  <c r="B23" i="37"/>
  <c r="B24" i="37"/>
  <c r="B25" i="37"/>
  <c r="B26" i="37"/>
  <c r="B27" i="37"/>
  <c r="B28" i="37"/>
  <c r="B29" i="37"/>
  <c r="B30" i="37"/>
  <c r="B31" i="37"/>
  <c r="B32" i="37"/>
  <c r="B33" i="37"/>
  <c r="B34" i="37"/>
  <c r="B35" i="37"/>
  <c r="B36" i="37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10" i="35"/>
  <c r="B11" i="35"/>
  <c r="B12" i="35"/>
  <c r="B13" i="35"/>
  <c r="B14" i="35"/>
  <c r="B15" i="35"/>
  <c r="B16" i="35"/>
  <c r="B17" i="35"/>
  <c r="B18" i="35"/>
  <c r="B19" i="35"/>
  <c r="B20" i="35"/>
  <c r="B21" i="35"/>
  <c r="B22" i="35"/>
  <c r="B23" i="35"/>
  <c r="B24" i="35"/>
  <c r="B25" i="35"/>
  <c r="B26" i="35"/>
  <c r="B27" i="35"/>
  <c r="B28" i="35"/>
  <c r="B29" i="35"/>
  <c r="B30" i="35"/>
  <c r="B31" i="35"/>
  <c r="B32" i="35"/>
  <c r="B33" i="35"/>
  <c r="B34" i="35"/>
  <c r="B35" i="35"/>
  <c r="B36" i="35"/>
  <c r="B10" i="34"/>
  <c r="B11" i="34"/>
  <c r="B12" i="34"/>
  <c r="B13" i="34"/>
  <c r="B14" i="34"/>
  <c r="B15" i="34"/>
  <c r="B16" i="34"/>
  <c r="B17" i="34"/>
  <c r="B18" i="34"/>
  <c r="B19" i="34"/>
  <c r="B20" i="34"/>
  <c r="B21" i="34"/>
  <c r="B22" i="34"/>
  <c r="B23" i="34"/>
  <c r="B24" i="34"/>
  <c r="B25" i="34"/>
  <c r="B26" i="34"/>
  <c r="B27" i="34"/>
  <c r="B28" i="34"/>
  <c r="B29" i="34"/>
  <c r="B30" i="34"/>
  <c r="B31" i="34"/>
  <c r="B32" i="34"/>
  <c r="B33" i="34"/>
  <c r="B34" i="34"/>
  <c r="B35" i="34"/>
  <c r="B36" i="34"/>
  <c r="B10" i="33"/>
  <c r="B11" i="33"/>
  <c r="B12" i="33"/>
  <c r="B13" i="33"/>
  <c r="B14" i="33"/>
  <c r="B15" i="33"/>
  <c r="B16" i="33"/>
  <c r="B17" i="33"/>
  <c r="B18" i="33"/>
  <c r="B19" i="33"/>
  <c r="B20" i="33"/>
  <c r="B21" i="33"/>
  <c r="B22" i="33"/>
  <c r="B23" i="33"/>
  <c r="B24" i="33"/>
  <c r="B25" i="33"/>
  <c r="B26" i="33"/>
  <c r="B27" i="33"/>
  <c r="B28" i="33"/>
  <c r="B29" i="33"/>
  <c r="B30" i="33"/>
  <c r="B31" i="33"/>
  <c r="B32" i="33"/>
  <c r="B33" i="33"/>
  <c r="B34" i="33"/>
  <c r="B35" i="33"/>
  <c r="B36" i="33"/>
  <c r="B9" i="91" l="1"/>
  <c r="B7" i="91"/>
  <c r="B6" i="91"/>
  <c r="B5" i="91"/>
  <c r="B4" i="91"/>
  <c r="B9" i="90"/>
  <c r="B7" i="90"/>
  <c r="B6" i="90"/>
  <c r="B5" i="90"/>
  <c r="B4" i="90"/>
  <c r="B9" i="89"/>
  <c r="B7" i="89"/>
  <c r="B6" i="89"/>
  <c r="B5" i="89"/>
  <c r="B4" i="89"/>
  <c r="B9" i="88"/>
  <c r="B7" i="88"/>
  <c r="B6" i="88"/>
  <c r="B5" i="88"/>
  <c r="B4" i="88"/>
  <c r="B9" i="87"/>
  <c r="B7" i="87"/>
  <c r="B6" i="87"/>
  <c r="B5" i="87"/>
  <c r="B4" i="87"/>
  <c r="B9" i="86"/>
  <c r="B7" i="86"/>
  <c r="B6" i="86"/>
  <c r="B5" i="86"/>
  <c r="B4" i="86"/>
  <c r="B9" i="85"/>
  <c r="B7" i="85"/>
  <c r="B6" i="85"/>
  <c r="B5" i="85"/>
  <c r="B4" i="85"/>
  <c r="B9" i="84"/>
  <c r="B7" i="84"/>
  <c r="B6" i="84"/>
  <c r="B5" i="84"/>
  <c r="B4" i="84"/>
  <c r="B9" i="83"/>
  <c r="B7" i="83"/>
  <c r="B6" i="83"/>
  <c r="B5" i="83"/>
  <c r="B4" i="83"/>
  <c r="B9" i="82"/>
  <c r="B7" i="82"/>
  <c r="B6" i="82"/>
  <c r="B5" i="82"/>
  <c r="B4" i="82"/>
  <c r="B9" i="81"/>
  <c r="B7" i="81"/>
  <c r="B6" i="81"/>
  <c r="B5" i="81"/>
  <c r="B4" i="81"/>
  <c r="B9" i="80"/>
  <c r="B7" i="80"/>
  <c r="B6" i="80"/>
  <c r="B5" i="80"/>
  <c r="B4" i="80"/>
  <c r="B9" i="79"/>
  <c r="B7" i="79"/>
  <c r="B6" i="79"/>
  <c r="B5" i="79"/>
  <c r="B4" i="79"/>
  <c r="B9" i="78"/>
  <c r="B7" i="78"/>
  <c r="B6" i="78"/>
  <c r="B5" i="78"/>
  <c r="B4" i="78"/>
  <c r="B9" i="77"/>
  <c r="B7" i="77"/>
  <c r="B6" i="77"/>
  <c r="B5" i="77"/>
  <c r="B4" i="77"/>
  <c r="B9" i="76"/>
  <c r="B7" i="76"/>
  <c r="B6" i="76"/>
  <c r="B5" i="76"/>
  <c r="B4" i="76"/>
  <c r="B9" i="75"/>
  <c r="B7" i="75"/>
  <c r="B6" i="75"/>
  <c r="B5" i="75"/>
  <c r="B4" i="75"/>
  <c r="B9" i="74"/>
  <c r="B7" i="74"/>
  <c r="B6" i="74"/>
  <c r="B5" i="74"/>
  <c r="B4" i="74"/>
  <c r="B9" i="73"/>
  <c r="B7" i="73"/>
  <c r="B6" i="73"/>
  <c r="B5" i="73"/>
  <c r="B4" i="73"/>
  <c r="B9" i="72"/>
  <c r="B7" i="72"/>
  <c r="B6" i="72"/>
  <c r="B5" i="72"/>
  <c r="B4" i="72"/>
  <c r="B9" i="71"/>
  <c r="B7" i="71"/>
  <c r="B6" i="71"/>
  <c r="B5" i="71"/>
  <c r="B4" i="71"/>
  <c r="B9" i="70"/>
  <c r="B7" i="70"/>
  <c r="B6" i="70"/>
  <c r="B5" i="70"/>
  <c r="B4" i="70"/>
  <c r="B9" i="69"/>
  <c r="B7" i="69"/>
  <c r="B6" i="69"/>
  <c r="B5" i="69"/>
  <c r="B4" i="69"/>
  <c r="B9" i="68"/>
  <c r="B7" i="68"/>
  <c r="B6" i="68"/>
  <c r="B5" i="68"/>
  <c r="B4" i="68"/>
  <c r="B9" i="67"/>
  <c r="B7" i="67"/>
  <c r="B6" i="67"/>
  <c r="B5" i="67"/>
  <c r="B4" i="67"/>
  <c r="B9" i="66"/>
  <c r="B7" i="66"/>
  <c r="B6" i="66"/>
  <c r="B5" i="66"/>
  <c r="B4" i="66"/>
  <c r="B9" i="65"/>
  <c r="B7" i="65"/>
  <c r="B6" i="65"/>
  <c r="B5" i="65"/>
  <c r="B4" i="65"/>
  <c r="B9" i="64"/>
  <c r="B7" i="64"/>
  <c r="B6" i="64"/>
  <c r="B5" i="64"/>
  <c r="B4" i="64"/>
  <c r="B9" i="63"/>
  <c r="B7" i="63"/>
  <c r="B6" i="63"/>
  <c r="B5" i="63"/>
  <c r="B4" i="63"/>
  <c r="B9" i="62"/>
  <c r="B7" i="62"/>
  <c r="B6" i="62"/>
  <c r="B5" i="62"/>
  <c r="B4" i="62"/>
  <c r="B9" i="61"/>
  <c r="B7" i="61"/>
  <c r="B6" i="61"/>
  <c r="B5" i="61"/>
  <c r="B4" i="61"/>
  <c r="B9" i="60"/>
  <c r="B7" i="60"/>
  <c r="B6" i="60"/>
  <c r="B5" i="60"/>
  <c r="B4" i="60"/>
  <c r="B9" i="59"/>
  <c r="B7" i="59"/>
  <c r="B6" i="59"/>
  <c r="B5" i="59"/>
  <c r="B4" i="59"/>
  <c r="B9" i="58"/>
  <c r="B7" i="58"/>
  <c r="B6" i="58"/>
  <c r="B5" i="58"/>
  <c r="B4" i="58"/>
  <c r="B9" i="57"/>
  <c r="B7" i="57"/>
  <c r="B6" i="57"/>
  <c r="B5" i="57"/>
  <c r="B4" i="57"/>
  <c r="B9" i="56"/>
  <c r="B7" i="56"/>
  <c r="B6" i="56"/>
  <c r="B5" i="56"/>
  <c r="B4" i="56"/>
  <c r="B9" i="55"/>
  <c r="B7" i="55"/>
  <c r="B6" i="55"/>
  <c r="B5" i="55"/>
  <c r="B4" i="55"/>
  <c r="B9" i="54"/>
  <c r="B7" i="54"/>
  <c r="B6" i="54"/>
  <c r="B5" i="54"/>
  <c r="B4" i="54"/>
  <c r="B9" i="53"/>
  <c r="B7" i="53"/>
  <c r="B6" i="53"/>
  <c r="B5" i="53"/>
  <c r="B4" i="53"/>
  <c r="B9" i="52"/>
  <c r="B7" i="52"/>
  <c r="B6" i="52"/>
  <c r="B5" i="52"/>
  <c r="B4" i="52"/>
  <c r="B9" i="51"/>
  <c r="B7" i="51"/>
  <c r="B6" i="51"/>
  <c r="B5" i="51"/>
  <c r="B4" i="51"/>
  <c r="B9" i="50"/>
  <c r="B7" i="50"/>
  <c r="B6" i="50"/>
  <c r="B5" i="50"/>
  <c r="B4" i="50"/>
  <c r="B9" i="49"/>
  <c r="B7" i="49"/>
  <c r="B6" i="49"/>
  <c r="B5" i="49"/>
  <c r="B4" i="49"/>
  <c r="B9" i="48"/>
  <c r="B7" i="48"/>
  <c r="B6" i="48"/>
  <c r="B5" i="48"/>
  <c r="B4" i="48"/>
  <c r="B9" i="47"/>
  <c r="B7" i="47"/>
  <c r="B6" i="47"/>
  <c r="B5" i="47"/>
  <c r="B4" i="47"/>
  <c r="B9" i="46"/>
  <c r="B7" i="46"/>
  <c r="B6" i="46"/>
  <c r="B5" i="46"/>
  <c r="B4" i="46"/>
  <c r="B9" i="45"/>
  <c r="B7" i="45"/>
  <c r="B6" i="45"/>
  <c r="B5" i="45"/>
  <c r="B4" i="45"/>
  <c r="B9" i="44"/>
  <c r="B7" i="44"/>
  <c r="B6" i="44"/>
  <c r="B5" i="44"/>
  <c r="B4" i="44"/>
  <c r="B9" i="43"/>
  <c r="B7" i="43"/>
  <c r="B6" i="43"/>
  <c r="B5" i="43"/>
  <c r="B4" i="43"/>
  <c r="B9" i="42"/>
  <c r="B7" i="42"/>
  <c r="B6" i="42"/>
  <c r="B5" i="42"/>
  <c r="B4" i="42"/>
  <c r="B9" i="41"/>
  <c r="B7" i="41"/>
  <c r="B6" i="41"/>
  <c r="B5" i="41"/>
  <c r="B4" i="41"/>
  <c r="B9" i="40"/>
  <c r="B7" i="40"/>
  <c r="B6" i="40"/>
  <c r="B5" i="40"/>
  <c r="B4" i="40"/>
  <c r="B9" i="39"/>
  <c r="B7" i="39"/>
  <c r="B6" i="39"/>
  <c r="B5" i="39"/>
  <c r="B4" i="39"/>
  <c r="B9" i="38"/>
  <c r="B7" i="38"/>
  <c r="B6" i="38"/>
  <c r="B5" i="38"/>
  <c r="B4" i="38"/>
  <c r="B9" i="37"/>
  <c r="B7" i="37"/>
  <c r="B6" i="37"/>
  <c r="B5" i="37"/>
  <c r="B4" i="37"/>
  <c r="B9" i="36"/>
  <c r="B7" i="36"/>
  <c r="B6" i="36"/>
  <c r="B5" i="36"/>
  <c r="B4" i="36"/>
  <c r="B9" i="35"/>
  <c r="B7" i="35"/>
  <c r="B6" i="35"/>
  <c r="B5" i="35"/>
  <c r="B4" i="35"/>
  <c r="B9" i="34"/>
  <c r="B7" i="34"/>
  <c r="B6" i="34"/>
  <c r="B5" i="34"/>
  <c r="B4" i="34"/>
  <c r="B9" i="33"/>
  <c r="B7" i="33"/>
  <c r="B6" i="33"/>
  <c r="B5" i="33"/>
  <c r="B4" i="33"/>
  <c r="B40" i="78" l="1"/>
  <c r="B40" i="34"/>
  <c r="B40" i="36"/>
  <c r="B40" i="38"/>
  <c r="B40" i="40"/>
  <c r="B40" i="42"/>
  <c r="B40" i="44"/>
  <c r="B40" i="46"/>
  <c r="B40" i="48"/>
  <c r="B40" i="50"/>
  <c r="B40" i="52"/>
  <c r="B40" i="54"/>
  <c r="B40" i="56"/>
  <c r="B40" i="58"/>
  <c r="B40" i="60"/>
  <c r="B40" i="62"/>
  <c r="B40" i="64"/>
  <c r="B40" i="66"/>
  <c r="B40" i="68"/>
  <c r="B40" i="70"/>
  <c r="B40" i="72"/>
  <c r="B40" i="74"/>
  <c r="B40" i="76"/>
  <c r="B40" i="80"/>
  <c r="B40" i="82"/>
  <c r="B40" i="84"/>
  <c r="B40" i="86"/>
  <c r="B40" i="33"/>
  <c r="B40" i="35"/>
  <c r="B40" i="37"/>
  <c r="B40" i="39"/>
  <c r="B40" i="41"/>
  <c r="B40" i="43"/>
  <c r="B40" i="45"/>
  <c r="B40" i="47"/>
  <c r="B40" i="49"/>
  <c r="B40" i="51"/>
  <c r="B40" i="53"/>
  <c r="B40" i="55"/>
  <c r="B40" i="57"/>
  <c r="B40" i="59"/>
  <c r="B40" i="61"/>
  <c r="B40" i="63"/>
  <c r="B40" i="65"/>
  <c r="B40" i="67"/>
  <c r="B40" i="69"/>
  <c r="B40" i="71"/>
  <c r="B40" i="73"/>
  <c r="B40" i="75"/>
  <c r="B40" i="77"/>
  <c r="B40" i="79"/>
  <c r="B40" i="81"/>
  <c r="B40" i="83"/>
  <c r="B40" i="85"/>
  <c r="B40" i="87"/>
  <c r="B40" i="89"/>
  <c r="B40" i="91"/>
  <c r="B40" i="88"/>
  <c r="B40" i="90"/>
</calcChain>
</file>

<file path=xl/sharedStrings.xml><?xml version="1.0" encoding="utf-8"?>
<sst xmlns="http://schemas.openxmlformats.org/spreadsheetml/2006/main" count="3294" uniqueCount="97">
  <si>
    <t>Ankara Cumhuriyet Başsavcılığı</t>
  </si>
  <si>
    <t>SIRA 
NO</t>
  </si>
  <si>
    <t>TC KİMLİK NO.</t>
  </si>
  <si>
    <t>UNVAN</t>
  </si>
  <si>
    <t>Toplam 
Saat</t>
  </si>
  <si>
    <t>Saat
Ücreti</t>
  </si>
  <si>
    <t>Ödenecek
Ücret</t>
  </si>
  <si>
    <t>SAYFA TOPLAMI</t>
  </si>
  <si>
    <t>GENEL TOPLAM</t>
  </si>
  <si>
    <t>DÜZENLEYEN</t>
  </si>
  <si>
    <t>TASDİK EDEN</t>
  </si>
  <si>
    <t>ADI-SOYADI</t>
  </si>
  <si>
    <t>UNVANI</t>
  </si>
  <si>
    <t>Yazı İşleri Müdürü</t>
  </si>
  <si>
    <t>Cumhuriyet Başsavcı Vekili</t>
  </si>
  <si>
    <t>İMZA</t>
  </si>
  <si>
    <t>Zabıt Katibi</t>
  </si>
  <si>
    <t>BİRİMİ :</t>
  </si>
  <si>
    <t>AD SOYAD</t>
  </si>
  <si>
    <t>TC KİMLİK NO</t>
  </si>
  <si>
    <t>SİCİL 
NO</t>
  </si>
  <si>
    <t xml:space="preserve"> </t>
  </si>
  <si>
    <t>İlgili Ayın Takvim Gün Sırası</t>
  </si>
  <si>
    <t>Yapılan Mesai Saati</t>
  </si>
  <si>
    <t>Toplam Yapılan Mesai Saati</t>
  </si>
  <si>
    <t>Adı Soyadı</t>
  </si>
  <si>
    <t>Sicili</t>
  </si>
  <si>
    <t>Ünvanı</t>
  </si>
  <si>
    <t>ANKARA ADLİ YARGI İLK DERECE MAHKEMESİ 
ADALET KOMİSYONU BAŞKANLIĞI'NA
TUTANAK</t>
  </si>
  <si>
    <t>Hizmetli</t>
  </si>
  <si>
    <t>Yazı İşleri Müd.</t>
  </si>
  <si>
    <t>Memur</t>
  </si>
  <si>
    <t xml:space="preserve">          Ankara Cumhuriyet Başsavcılığı Genel Soruşturma Bürosunda görev yapan aşağıda adı soyadı ve sicili yazılı personelin  2022 yılı ŞUBAT Ayına ilişkin aşağıda belirtildiği gibi fazla mesai yapmış olup, </t>
  </si>
  <si>
    <t xml:space="preserve">         İş bu tutanak birlikte imza altına alınmıştır. 02/03/2022</t>
  </si>
  <si>
    <t>AYLIK FAZLA ÇALIŞMA CETVELİ</t>
  </si>
  <si>
    <t xml:space="preserve">  Cumhuriyet Başsavcı Vekili</t>
  </si>
  <si>
    <t>Yasemin ARSLAN</t>
  </si>
  <si>
    <t>T.C.NO.</t>
  </si>
  <si>
    <t>Asliye Ceza İlamat Bürosu</t>
  </si>
  <si>
    <t>Vural BALCI</t>
  </si>
  <si>
    <t>OCAK</t>
  </si>
  <si>
    <t>AİT OLDUĞU AY :</t>
  </si>
  <si>
    <t>SEMANUR DELİCE</t>
  </si>
  <si>
    <t>SELİN ATAMAN</t>
  </si>
  <si>
    <t>MERVE DİNÇER</t>
  </si>
  <si>
    <t>LEYLA GÜLBEYAZ</t>
  </si>
  <si>
    <t>MERVE POLAT</t>
  </si>
  <si>
    <t>ÖZLEM DAĞ</t>
  </si>
  <si>
    <t>ESMA CEYLAN</t>
  </si>
  <si>
    <t>SEFA TALHA GÜMÜŞ</t>
  </si>
  <si>
    <t>NECATİ MERAL</t>
  </si>
  <si>
    <t>CANSU ÖZEL</t>
  </si>
  <si>
    <t>SİBEL DEMİR</t>
  </si>
  <si>
    <t>GÜLTEN OĞUZ</t>
  </si>
  <si>
    <t>HİLAL EKİNCİOĞLU</t>
  </si>
  <si>
    <t>MELİS SEVGİ</t>
  </si>
  <si>
    <t>ŞAZİYE EBRU EROĞLU</t>
  </si>
  <si>
    <t>ABDULLAH LİYADİN ERTÜRK</t>
  </si>
  <si>
    <t>MURAT ULUPINAR</t>
  </si>
  <si>
    <t>ŞUAYİP YILMAZ</t>
  </si>
  <si>
    <t xml:space="preserve">SULTAN PEHLİVAN </t>
  </si>
  <si>
    <t xml:space="preserve">NALAN ÖZSOY </t>
  </si>
  <si>
    <t>YASİN YILMAZ</t>
  </si>
  <si>
    <t>BURAK ERER</t>
  </si>
  <si>
    <t>KÜBRA AKGÜL</t>
  </si>
  <si>
    <t>CEMİL ASLAN</t>
  </si>
  <si>
    <t>GÜLER ERCAN</t>
  </si>
  <si>
    <t>ABDURRAHMAN KAYGUSUZ</t>
  </si>
  <si>
    <t>SEDEF NUR TAMDEMİR</t>
  </si>
  <si>
    <t>MURAT CİCAVOĞLU</t>
  </si>
  <si>
    <t>SEYFETTİN  TOKMAK</t>
  </si>
  <si>
    <t>SİNEM İŞ</t>
  </si>
  <si>
    <t>RABİA SILA SALMAN</t>
  </si>
  <si>
    <t>17495140562-</t>
  </si>
  <si>
    <t>YASEMİN ARSLAN</t>
  </si>
  <si>
    <t>SONGÜL DOĞANAY</t>
  </si>
  <si>
    <t>KIYASİ KILIÇ</t>
  </si>
  <si>
    <t>ABDURRAHMAN</t>
  </si>
  <si>
    <t>KAYGUSUZ</t>
  </si>
  <si>
    <t>Ankara CBS Ön Bürosu</t>
  </si>
  <si>
    <t>ZABIT KÂTİBİ</t>
  </si>
  <si>
    <t>ÖZGÜR GÜRBÜZ</t>
  </si>
  <si>
    <t>SEMİH SEYMEN</t>
  </si>
  <si>
    <t>YAVUZ UÇMAZ</t>
  </si>
  <si>
    <t>SEÇKİN AVCI</t>
  </si>
  <si>
    <t>X</t>
  </si>
  <si>
    <t>MART</t>
  </si>
  <si>
    <t>ASEF YILMAZ</t>
  </si>
  <si>
    <t>ŞULE KOZAN</t>
  </si>
  <si>
    <t>x</t>
  </si>
  <si>
    <t>NİSAN</t>
  </si>
  <si>
    <t>,</t>
  </si>
  <si>
    <t>MERVE EBİTMEK</t>
  </si>
  <si>
    <t>MAYIS</t>
  </si>
  <si>
    <t>HAZİRAN</t>
  </si>
  <si>
    <t>DAMLA HAY</t>
  </si>
  <si>
    <t>Damla HAY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</si>
</sst>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[$-F800]dddd\,\ mmmm\ dd\,\ yyyy"/>
  </numFmts>
  <fonts count="26" x14ac:knownFonts="1">
    <font>
      <sz val="11"/>
      <color rgb="FF000000"/>
      <name val="Calibri"/>
      <family val="2"/>
      <charset val="162"/>
    </font>
    <font>
      <b/>
      <sz val="10"/>
      <name val="Arial"/>
      <family val="2"/>
      <charset val="162"/>
    </font>
    <font>
      <b/>
      <sz val="11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b/>
      <sz val="10"/>
      <color rgb="FF000000"/>
      <name val="Calibri"/>
      <family val="2"/>
      <charset val="1"/>
    </font>
    <font>
      <sz val="10"/>
      <color rgb="FF000000"/>
      <name val="Calibri"/>
      <family val="2"/>
      <charset val="162"/>
    </font>
    <font>
      <sz val="10"/>
      <color rgb="FF000000"/>
      <name val="Calibri"/>
      <family val="2"/>
      <charset val="1"/>
    </font>
    <font>
      <b/>
      <sz val="16"/>
      <name val="Arial Tur"/>
      <family val="2"/>
      <charset val="162"/>
    </font>
    <font>
      <sz val="8"/>
      <name val="Arial"/>
      <family val="2"/>
      <charset val="162"/>
    </font>
    <font>
      <sz val="10"/>
      <name val="Arial"/>
      <family val="2"/>
      <charset val="162"/>
    </font>
    <font>
      <b/>
      <sz val="10"/>
      <name val="Arial Tur"/>
      <charset val="162"/>
    </font>
    <font>
      <b/>
      <sz val="12"/>
      <name val="Arial"/>
      <family val="2"/>
      <charset val="162"/>
    </font>
    <font>
      <b/>
      <sz val="8"/>
      <name val="Arial"/>
      <family val="2"/>
      <charset val="162"/>
    </font>
    <font>
      <sz val="10"/>
      <name val="Calibri"/>
      <family val="2"/>
      <charset val="1"/>
    </font>
    <font>
      <b/>
      <sz val="10"/>
      <name val="Calibri"/>
      <family val="2"/>
      <charset val="1"/>
    </font>
    <font>
      <sz val="9"/>
      <name val="Arial Tur"/>
      <family val="2"/>
      <charset val="162"/>
    </font>
    <font>
      <b/>
      <sz val="9"/>
      <name val="Arial Tur"/>
      <family val="2"/>
      <charset val="162"/>
    </font>
    <font>
      <b/>
      <sz val="10"/>
      <name val="Arial Tur"/>
      <family val="2"/>
      <charset val="162"/>
    </font>
    <font>
      <sz val="10"/>
      <name val="Arial Tur"/>
      <family val="2"/>
      <charset val="162"/>
    </font>
    <font>
      <sz val="8"/>
      <name val="Arial Tur"/>
      <family val="2"/>
      <charset val="162"/>
    </font>
    <font>
      <b/>
      <sz val="14"/>
      <color rgb="FF000000"/>
      <name val="Calibri"/>
      <family val="2"/>
      <charset val="162"/>
    </font>
    <font>
      <sz val="10"/>
      <name val="Calibri"/>
      <family val="2"/>
      <charset val="162"/>
    </font>
    <font>
      <sz val="11"/>
      <name val="Calibri"/>
      <family val="2"/>
      <charset val="162"/>
    </font>
    <font>
      <sz val="11"/>
      <color rgb="FF000000"/>
      <name val="Times New Roman"/>
      <family val="1"/>
      <charset val="162"/>
    </font>
    <font>
      <b/>
      <sz val="11"/>
      <name val="Times New Roman"/>
      <family val="1"/>
      <charset val="162"/>
    </font>
    <font>
      <sz val="11"/>
      <name val="Times New Roman"/>
      <family val="1"/>
      <charset val="162"/>
    </font>
  </fonts>
  <fills count="7">
    <fill>
      <patternFill patternType="none"/>
    </fill>
    <fill>
      <patternFill patternType="gray125"/>
    </fill>
    <fill>
      <patternFill patternType="solid">
        <fgColor rgb="FFE6E6E6"/>
        <bgColor rgb="FFD9D9D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0" borderId="0" xfId="0" applyFont="1" applyAlignment="1">
      <alignment horizontal="center"/>
    </xf>
    <xf numFmtId="0" fontId="13" fillId="2" borderId="10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0" fillId="0" borderId="0" xfId="0" applyFill="1"/>
    <xf numFmtId="0" fontId="21" fillId="2" borderId="10" xfId="0" applyFont="1" applyFill="1" applyBorder="1" applyAlignment="1">
      <alignment horizontal="center" vertical="center" wrapText="1"/>
    </xf>
    <xf numFmtId="0" fontId="22" fillId="0" borderId="0" xfId="0" applyFont="1" applyFill="1"/>
    <xf numFmtId="0" fontId="5" fillId="3" borderId="9" xfId="0" applyFont="1" applyFill="1" applyBorder="1" applyAlignment="1">
      <alignment horizontal="center" vertical="center"/>
    </xf>
    <xf numFmtId="0" fontId="12" fillId="0" borderId="10" xfId="0" applyFont="1" applyFill="1" applyBorder="1" applyAlignment="1">
      <alignment horizontal="center" vertical="center" wrapText="1"/>
    </xf>
    <xf numFmtId="0" fontId="13" fillId="0" borderId="10" xfId="0" applyFont="1" applyFill="1" applyBorder="1" applyAlignment="1">
      <alignment horizontal="center" vertical="center" wrapText="1"/>
    </xf>
    <xf numFmtId="166" fontId="5" fillId="3" borderId="9" xfId="0" applyNumberFormat="1" applyFont="1" applyFill="1" applyBorder="1" applyAlignment="1">
      <alignment horizontal="center" vertical="center"/>
    </xf>
    <xf numFmtId="1" fontId="21" fillId="0" borderId="10" xfId="0" applyNumberFormat="1" applyFont="1" applyFill="1" applyBorder="1" applyAlignment="1">
      <alignment horizontal="center" vertical="center"/>
    </xf>
    <xf numFmtId="166" fontId="5" fillId="4" borderId="9" xfId="0" applyNumberFormat="1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165" fontId="5" fillId="0" borderId="10" xfId="0" applyNumberFormat="1" applyFont="1" applyFill="1" applyBorder="1" applyAlignment="1">
      <alignment horizontal="center" vertical="center"/>
    </xf>
    <xf numFmtId="2" fontId="5" fillId="0" borderId="10" xfId="0" applyNumberFormat="1" applyFont="1" applyFill="1" applyBorder="1"/>
    <xf numFmtId="0" fontId="8" fillId="0" borderId="9" xfId="0" applyFont="1" applyFill="1" applyBorder="1" applyAlignment="1">
      <alignment horizontal="center" vertical="center" wrapText="1"/>
    </xf>
    <xf numFmtId="0" fontId="24" fillId="0" borderId="10" xfId="0" applyFont="1" applyFill="1" applyBorder="1" applyAlignment="1">
      <alignment horizontal="center" vertical="center" wrapText="1"/>
    </xf>
    <xf numFmtId="0" fontId="25" fillId="0" borderId="10" xfId="0" applyFont="1" applyFill="1" applyBorder="1" applyAlignment="1">
      <alignment horizontal="center" vertical="center" wrapText="1"/>
    </xf>
    <xf numFmtId="0" fontId="23" fillId="0" borderId="10" xfId="0" applyFont="1" applyFill="1" applyBorder="1" applyAlignment="1">
      <alignment horizontal="center" vertical="center" shrinkToFit="1"/>
    </xf>
    <xf numFmtId="0" fontId="0" fillId="0" borderId="10" xfId="0" applyFill="1" applyBorder="1" applyAlignment="1">
      <alignment horizontal="left" shrinkToFit="1"/>
    </xf>
    <xf numFmtId="0" fontId="14" fillId="0" borderId="10" xfId="0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horizontal="center" vertical="center" wrapText="1"/>
    </xf>
    <xf numFmtId="0" fontId="14" fillId="0" borderId="10" xfId="0" applyFont="1" applyFill="1" applyBorder="1" applyAlignment="1">
      <alignment horizontal="left" vertical="center"/>
    </xf>
    <xf numFmtId="0" fontId="23" fillId="0" borderId="10" xfId="0" applyFont="1" applyFill="1" applyBorder="1" applyAlignment="1">
      <alignment horizontal="left"/>
    </xf>
    <xf numFmtId="0" fontId="23" fillId="0" borderId="10" xfId="0" applyFon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0" fillId="0" borderId="10" xfId="0" applyFont="1" applyFill="1" applyBorder="1" applyAlignment="1">
      <alignment horizontal="left"/>
    </xf>
    <xf numFmtId="0" fontId="5" fillId="0" borderId="0" xfId="0" applyFont="1" applyFill="1" applyBorder="1"/>
    <xf numFmtId="0" fontId="15" fillId="0" borderId="0" xfId="0" applyFont="1" applyFill="1" applyBorder="1"/>
    <xf numFmtId="0" fontId="18" fillId="0" borderId="8" xfId="0" applyFont="1" applyFill="1" applyBorder="1"/>
    <xf numFmtId="0" fontId="0" fillId="0" borderId="0" xfId="0" applyFont="1" applyFill="1"/>
    <xf numFmtId="0" fontId="6" fillId="0" borderId="5" xfId="0" applyFont="1" applyFill="1" applyBorder="1" applyAlignment="1">
      <alignment horizontal="center" vertical="top" wrapText="1"/>
    </xf>
    <xf numFmtId="0" fontId="0" fillId="0" borderId="2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  <xf numFmtId="0" fontId="16" fillId="0" borderId="3" xfId="0" applyFont="1" applyFill="1" applyBorder="1" applyAlignment="1">
      <alignment horizontal="left"/>
    </xf>
    <xf numFmtId="0" fontId="16" fillId="0" borderId="0" xfId="0" applyFont="1" applyFill="1" applyBorder="1"/>
    <xf numFmtId="0" fontId="6" fillId="0" borderId="3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center"/>
    </xf>
    <xf numFmtId="0" fontId="17" fillId="0" borderId="0" xfId="0" applyFont="1" applyFill="1" applyBorder="1"/>
    <xf numFmtId="0" fontId="18" fillId="0" borderId="0" xfId="0" applyFont="1" applyFill="1" applyBorder="1"/>
    <xf numFmtId="0" fontId="18" fillId="0" borderId="3" xfId="0" applyFont="1" applyFill="1" applyBorder="1"/>
    <xf numFmtId="0" fontId="5" fillId="0" borderId="6" xfId="0" applyFont="1" applyFill="1" applyBorder="1"/>
    <xf numFmtId="0" fontId="6" fillId="0" borderId="8" xfId="0" applyFont="1" applyFill="1" applyBorder="1" applyAlignment="1">
      <alignment horizontal="center"/>
    </xf>
    <xf numFmtId="0" fontId="19" fillId="0" borderId="8" xfId="0" applyFont="1" applyFill="1" applyBorder="1"/>
    <xf numFmtId="0" fontId="18" fillId="0" borderId="8" xfId="0" applyFont="1" applyFill="1" applyBorder="1" applyAlignment="1">
      <alignment horizontal="left"/>
    </xf>
    <xf numFmtId="0" fontId="6" fillId="0" borderId="7" xfId="0" applyFont="1" applyFill="1" applyBorder="1" applyAlignment="1">
      <alignment horizontal="left"/>
    </xf>
    <xf numFmtId="0" fontId="18" fillId="0" borderId="7" xfId="0" applyFont="1" applyFill="1" applyBorder="1"/>
    <xf numFmtId="0" fontId="14" fillId="0" borderId="10" xfId="0" applyFont="1" applyFill="1" applyBorder="1" applyAlignment="1">
      <alignment horizontal="left" vertical="center" wrapText="1"/>
    </xf>
    <xf numFmtId="0" fontId="12" fillId="0" borderId="10" xfId="0" applyFont="1" applyFill="1" applyBorder="1" applyAlignment="1">
      <alignment horizontal="left" vertical="center" wrapText="1"/>
    </xf>
    <xf numFmtId="0" fontId="25" fillId="0" borderId="10" xfId="0" applyFont="1" applyFill="1" applyBorder="1" applyAlignment="1">
      <alignment horizontal="left" vertical="center" wrapText="1"/>
    </xf>
    <xf numFmtId="0" fontId="23" fillId="0" borderId="10" xfId="0" applyFont="1" applyFill="1" applyBorder="1" applyAlignment="1">
      <alignment horizontal="left" vertical="center" shrinkToFit="1"/>
    </xf>
    <xf numFmtId="0" fontId="0" fillId="0" borderId="10" xfId="0" applyFill="1" applyBorder="1" applyAlignment="1">
      <alignment horizontal="left"/>
    </xf>
    <xf numFmtId="0" fontId="0" fillId="0" borderId="10" xfId="0" applyFill="1" applyBorder="1" applyAlignment="1">
      <alignment horizontal="left" vertical="center" wrapText="1"/>
    </xf>
    <xf numFmtId="0" fontId="15" fillId="0" borderId="12" xfId="0" applyFont="1" applyFill="1" applyBorder="1" applyAlignment="1">
      <alignment horizontal="left"/>
    </xf>
    <xf numFmtId="0" fontId="2" fillId="0" borderId="4" xfId="0" applyFont="1" applyFill="1" applyBorder="1" applyAlignment="1">
      <alignment vertical="center"/>
    </xf>
    <xf numFmtId="0" fontId="2" fillId="0" borderId="5" xfId="0" applyFont="1" applyFill="1" applyBorder="1" applyAlignment="1">
      <alignment vertical="center"/>
    </xf>
    <xf numFmtId="0" fontId="2" fillId="0" borderId="5" xfId="0" applyFont="1" applyFill="1" applyBorder="1" applyAlignment="1">
      <alignment horizontal="center" vertical="center"/>
    </xf>
    <xf numFmtId="164" fontId="3" fillId="0" borderId="4" xfId="0" applyNumberFormat="1" applyFont="1" applyFill="1" applyBorder="1" applyAlignment="1">
      <alignment horizontal="left"/>
    </xf>
    <xf numFmtId="0" fontId="4" fillId="0" borderId="11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1" fillId="0" borderId="10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wrapText="1"/>
    </xf>
    <xf numFmtId="0" fontId="11" fillId="0" borderId="10" xfId="0" applyFont="1" applyFill="1" applyBorder="1" applyAlignment="1">
      <alignment horizontal="left" vertical="center" wrapText="1"/>
    </xf>
    <xf numFmtId="0" fontId="9" fillId="0" borderId="10" xfId="0" applyFont="1" applyFill="1" applyBorder="1" applyAlignment="1">
      <alignment horizontal="center"/>
    </xf>
    <xf numFmtId="0" fontId="0" fillId="0" borderId="10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left" vertical="center" wrapText="1"/>
    </xf>
    <xf numFmtId="0" fontId="0" fillId="0" borderId="0" xfId="0" applyFont="1" applyFill="1" applyAlignment="1">
      <alignment horizontal="left"/>
    </xf>
    <xf numFmtId="1" fontId="21" fillId="5" borderId="10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horizontal="left" vertical="center" wrapText="1" shrinkToFit="1"/>
    </xf>
    <xf numFmtId="0" fontId="11" fillId="0" borderId="10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0" xfId="0" applyFill="1" applyBorder="1" applyAlignment="1">
      <alignment horizontal="left" vertical="top"/>
    </xf>
    <xf numFmtId="0" fontId="0" fillId="0" borderId="10" xfId="0" applyFill="1" applyBorder="1" applyAlignment="1">
      <alignment horizontal="left" vertical="top" wrapText="1"/>
    </xf>
    <xf numFmtId="0" fontId="0" fillId="0" borderId="10" xfId="0" applyFont="1" applyFill="1" applyBorder="1" applyAlignment="1">
      <alignment horizontal="left" vertical="top"/>
    </xf>
    <xf numFmtId="0" fontId="5" fillId="0" borderId="3" xfId="0" applyFont="1" applyFill="1" applyBorder="1"/>
    <xf numFmtId="165" fontId="0" fillId="0" borderId="0" xfId="0" applyNumberFormat="1" applyFont="1" applyFill="1"/>
    <xf numFmtId="0" fontId="0" fillId="0" borderId="10" xfId="0" applyFill="1" applyBorder="1" applyAlignment="1">
      <alignment horizontal="center" vertical="center" wrapText="1"/>
    </xf>
    <xf numFmtId="0" fontId="0" fillId="0" borderId="0" xfId="0" applyFill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11" fillId="0" borderId="10" xfId="0" applyFont="1" applyFill="1" applyBorder="1" applyAlignment="1">
      <alignment horizontal="center" vertical="center" wrapText="1"/>
    </xf>
    <xf numFmtId="0" fontId="5" fillId="6" borderId="0" xfId="0" applyFont="1" applyFill="1" applyBorder="1"/>
    <xf numFmtId="0" fontId="14" fillId="6" borderId="10" xfId="0" applyFont="1" applyFill="1" applyBorder="1" applyAlignment="1">
      <alignment horizontal="center" vertical="center"/>
    </xf>
    <xf numFmtId="1" fontId="21" fillId="6" borderId="10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vertical="center" wrapText="1"/>
    </xf>
    <xf numFmtId="0" fontId="0" fillId="6" borderId="0" xfId="0" applyFont="1" applyFill="1"/>
    <xf numFmtId="0" fontId="0" fillId="0" borderId="10" xfId="0" applyBorder="1" applyAlignment="1">
      <alignment horizontal="left" vertical="center" wrapText="1"/>
    </xf>
    <xf numFmtId="0" fontId="8" fillId="0" borderId="10" xfId="0" applyFont="1" applyFill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center" vertical="top" wrapText="1"/>
    </xf>
    <xf numFmtId="0" fontId="14" fillId="4" borderId="10" xfId="0" applyFont="1" applyFill="1" applyBorder="1" applyAlignment="1">
      <alignment horizontal="center" vertical="center"/>
    </xf>
    <xf numFmtId="1" fontId="21" fillId="4" borderId="10" xfId="0" applyNumberFormat="1" applyFont="1" applyFill="1" applyBorder="1" applyAlignment="1">
      <alignment horizontal="center" vertical="center"/>
    </xf>
    <xf numFmtId="0" fontId="11" fillId="0" borderId="10" xfId="0" applyFont="1" applyFill="1" applyBorder="1" applyAlignment="1">
      <alignment horizontal="center" vertical="center" wrapText="1"/>
    </xf>
    <xf numFmtId="0" fontId="16" fillId="6" borderId="0" xfId="0" applyFont="1" applyFill="1" applyBorder="1"/>
    <xf numFmtId="0" fontId="18" fillId="6" borderId="8" xfId="0" applyFont="1" applyFill="1" applyBorder="1"/>
    <xf numFmtId="0" fontId="15" fillId="6" borderId="0" xfId="0" applyFont="1" applyFill="1" applyBorder="1"/>
    <xf numFmtId="0" fontId="18" fillId="6" borderId="0" xfId="0" applyFont="1" applyFill="1" applyBorder="1"/>
    <xf numFmtId="0" fontId="17" fillId="6" borderId="0" xfId="0" applyFont="1" applyFill="1" applyBorder="1"/>
    <xf numFmtId="0" fontId="11" fillId="0" borderId="10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center" vertical="center" wrapText="1"/>
    </xf>
    <xf numFmtId="0" fontId="7" fillId="0" borderId="10" xfId="0" applyFont="1" applyFill="1" applyBorder="1" applyAlignment="1">
      <alignment horizontal="center" vertical="center"/>
    </xf>
    <xf numFmtId="0" fontId="8" fillId="0" borderId="10" xfId="0" applyFont="1" applyFill="1" applyBorder="1" applyAlignment="1">
      <alignment horizontal="center" wrapText="1"/>
    </xf>
    <xf numFmtId="0" fontId="1" fillId="0" borderId="10" xfId="0" applyFont="1" applyFill="1" applyBorder="1" applyAlignment="1">
      <alignment horizontal="left" wrapText="1"/>
    </xf>
    <xf numFmtId="0" fontId="11" fillId="0" borderId="10" xfId="0" applyFont="1" applyFill="1" applyBorder="1" applyAlignment="1">
      <alignment horizontal="center" vertical="center" wrapText="1"/>
    </xf>
    <xf numFmtId="0" fontId="10" fillId="0" borderId="10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left" vertical="center"/>
    </xf>
    <xf numFmtId="0" fontId="5" fillId="0" borderId="10" xfId="0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16" fillId="0" borderId="3" xfId="0" applyFont="1" applyFill="1" applyBorder="1" applyAlignment="1">
      <alignment horizontal="center"/>
    </xf>
    <xf numFmtId="0" fontId="16" fillId="0" borderId="0" xfId="0" applyFont="1" applyFill="1" applyBorder="1" applyAlignment="1">
      <alignment horizontal="left"/>
    </xf>
    <xf numFmtId="0" fontId="17" fillId="0" borderId="3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left" vertical="center"/>
    </xf>
    <xf numFmtId="0" fontId="20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6E6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CCFF"/>
      <color rgb="FFFF0000"/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E2F40-3925-4217-A50B-CA2854E653BC}">
  <dimension ref="A1:IS1352"/>
  <sheetViews>
    <sheetView tabSelected="1" topLeftCell="A4" zoomScale="130" zoomScaleNormal="130" workbookViewId="0">
      <pane xSplit="6" ySplit="4" topLeftCell="G20" activePane="bottomRight" state="frozen"/>
      <selection activeCell="A4" sqref="A4"/>
      <selection pane="topRight" activeCell="H4" sqref="H4"/>
      <selection pane="bottomLeft" activeCell="A9" sqref="A9"/>
      <selection pane="bottomRight" activeCell="G43" sqref="G43"/>
    </sheetView>
  </sheetViews>
  <sheetFormatPr defaultRowHeight="15" x14ac:dyDescent="0.25"/>
  <cols>
    <col min="1" max="1" width="7.28515625" style="67" customWidth="1"/>
    <col min="2" max="2" width="3" style="67" hidden="1" customWidth="1"/>
    <col min="3" max="3" width="10.42578125" style="69" customWidth="1"/>
    <col min="4" max="4" width="14.140625" style="69" customWidth="1"/>
    <col min="5" max="5" width="24.7109375" style="69" customWidth="1"/>
    <col min="6" max="6" width="18" style="67" customWidth="1"/>
    <col min="7" max="9" width="3.42578125" style="87" customWidth="1"/>
    <col min="10" max="14" width="3.42578125" style="32" customWidth="1"/>
    <col min="15" max="16" width="3.42578125" style="87" customWidth="1"/>
    <col min="17" max="21" width="3.42578125" style="32" customWidth="1"/>
    <col min="22" max="23" width="3.42578125" style="87" customWidth="1"/>
    <col min="24" max="24" width="3.42578125" style="32" customWidth="1"/>
    <col min="25" max="25" width="3.42578125" style="87" customWidth="1"/>
    <col min="26" max="28" width="3.42578125" style="32" customWidth="1"/>
    <col min="29" max="36" width="3.42578125" style="87" customWidth="1"/>
    <col min="37" max="37" width="3.42578125" style="32" customWidth="1"/>
    <col min="38" max="253" width="8.140625" style="32" customWidth="1"/>
    <col min="254" max="1021" width="8.5703125" style="5" customWidth="1"/>
    <col min="1022" max="16384" width="9.140625" style="5"/>
  </cols>
  <sheetData>
    <row r="1" spans="1:42" s="32" customFormat="1" ht="15.75" customHeight="1" x14ac:dyDescent="0.25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</row>
    <row r="2" spans="1:42" s="32" customFormat="1" x14ac:dyDescent="0.25">
      <c r="A2" s="100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</row>
    <row r="3" spans="1:42" s="32" customFormat="1" x14ac:dyDescent="0.25">
      <c r="A3" s="56"/>
      <c r="B3" s="58"/>
      <c r="C3" s="59"/>
      <c r="D3" s="59"/>
      <c r="E3" s="60"/>
      <c r="F3" s="61"/>
      <c r="G3" s="83"/>
      <c r="H3" s="83"/>
      <c r="I3" s="83"/>
      <c r="J3" s="29"/>
      <c r="K3" s="29"/>
      <c r="L3" s="29"/>
      <c r="M3" s="29"/>
      <c r="N3" s="29"/>
      <c r="O3" s="83"/>
      <c r="P3" s="83"/>
      <c r="Q3" s="29"/>
      <c r="R3" s="29"/>
      <c r="S3" s="29"/>
      <c r="T3" s="29"/>
      <c r="U3" s="29"/>
      <c r="V3" s="83"/>
      <c r="W3" s="83"/>
      <c r="X3" s="29"/>
      <c r="Y3" s="83"/>
      <c r="Z3" s="29"/>
      <c r="AA3" s="29"/>
      <c r="AB3" s="29"/>
      <c r="AC3" s="83"/>
      <c r="AD3" s="83"/>
      <c r="AE3" s="83"/>
      <c r="AF3" s="83"/>
      <c r="AG3" s="83"/>
      <c r="AH3" s="83"/>
      <c r="AI3" s="83"/>
      <c r="AJ3" s="83"/>
      <c r="AK3" s="29"/>
      <c r="AL3" s="29"/>
      <c r="AM3" s="29"/>
      <c r="AN3" s="77"/>
    </row>
    <row r="4" spans="1:42" s="32" customFormat="1" ht="24" customHeight="1" x14ac:dyDescent="0.25">
      <c r="A4" s="101" t="s">
        <v>17</v>
      </c>
      <c r="B4" s="101"/>
      <c r="C4" s="102" t="s">
        <v>0</v>
      </c>
      <c r="D4" s="102"/>
      <c r="E4" s="102"/>
      <c r="F4" s="62"/>
      <c r="G4" s="103" t="s">
        <v>34</v>
      </c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5"/>
      <c r="AM4" s="105"/>
      <c r="AN4" s="105"/>
    </row>
    <row r="5" spans="1:42" s="32" customFormat="1" ht="15.75" customHeight="1" x14ac:dyDescent="0.25">
      <c r="A5" s="101"/>
      <c r="B5" s="101"/>
      <c r="C5" s="106" t="s">
        <v>38</v>
      </c>
      <c r="D5" s="106"/>
      <c r="E5" s="106"/>
      <c r="F5" s="63" t="s">
        <v>21</v>
      </c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5"/>
      <c r="AM5" s="105"/>
      <c r="AN5" s="105"/>
    </row>
    <row r="6" spans="1:42" s="32" customFormat="1" ht="27" customHeight="1" x14ac:dyDescent="0.25">
      <c r="A6" s="107" t="s">
        <v>41</v>
      </c>
      <c r="B6" s="107"/>
      <c r="C6" s="107"/>
      <c r="D6" s="107"/>
      <c r="E6" s="64" t="s">
        <v>94</v>
      </c>
      <c r="F6" s="99">
        <v>2026</v>
      </c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65"/>
      <c r="AM6" s="65"/>
      <c r="AN6" s="65"/>
    </row>
    <row r="7" spans="1:42" s="32" customFormat="1" ht="25.5" x14ac:dyDescent="0.25">
      <c r="A7" s="9" t="s">
        <v>1</v>
      </c>
      <c r="B7" s="23"/>
      <c r="C7" s="49" t="s">
        <v>20</v>
      </c>
      <c r="D7" s="50" t="s">
        <v>37</v>
      </c>
      <c r="E7" s="24" t="s">
        <v>18</v>
      </c>
      <c r="F7" s="22" t="s">
        <v>3</v>
      </c>
      <c r="G7" s="91">
        <v>1</v>
      </c>
      <c r="H7" s="91">
        <v>2</v>
      </c>
      <c r="I7" s="91">
        <v>3</v>
      </c>
      <c r="J7" s="22">
        <v>4</v>
      </c>
      <c r="K7" s="22">
        <v>5</v>
      </c>
      <c r="L7" s="84">
        <v>6</v>
      </c>
      <c r="M7" s="84">
        <v>7</v>
      </c>
      <c r="N7" s="22">
        <v>8</v>
      </c>
      <c r="O7" s="91">
        <v>9</v>
      </c>
      <c r="P7" s="91">
        <v>10</v>
      </c>
      <c r="Q7" s="22">
        <v>11</v>
      </c>
      <c r="R7" s="22">
        <v>12</v>
      </c>
      <c r="S7" s="84">
        <v>13</v>
      </c>
      <c r="T7" s="84">
        <v>14</v>
      </c>
      <c r="U7" s="22">
        <v>15</v>
      </c>
      <c r="V7" s="91">
        <v>16</v>
      </c>
      <c r="W7" s="91">
        <v>17</v>
      </c>
      <c r="X7" s="91">
        <v>18</v>
      </c>
      <c r="Y7" s="91">
        <v>19</v>
      </c>
      <c r="Z7" s="84">
        <v>20</v>
      </c>
      <c r="AA7" s="84">
        <v>21</v>
      </c>
      <c r="AB7" s="91">
        <v>22</v>
      </c>
      <c r="AC7" s="91">
        <v>23</v>
      </c>
      <c r="AD7" s="91">
        <v>24</v>
      </c>
      <c r="AE7" s="91">
        <v>25</v>
      </c>
      <c r="AF7" s="91">
        <v>26</v>
      </c>
      <c r="AG7" s="84">
        <v>27</v>
      </c>
      <c r="AH7" s="84">
        <v>28</v>
      </c>
      <c r="AI7" s="91">
        <v>29</v>
      </c>
      <c r="AJ7" s="91">
        <v>30</v>
      </c>
      <c r="AK7" s="22"/>
      <c r="AL7" s="89" t="s">
        <v>4</v>
      </c>
      <c r="AM7" s="89" t="s">
        <v>5</v>
      </c>
      <c r="AN7" s="89" t="s">
        <v>6</v>
      </c>
    </row>
    <row r="8" spans="1:42" s="32" customFormat="1" x14ac:dyDescent="0.25">
      <c r="A8" s="18">
        <v>1</v>
      </c>
      <c r="B8" s="18"/>
      <c r="C8" s="51">
        <v>185883</v>
      </c>
      <c r="D8" s="52">
        <v>15191271580</v>
      </c>
      <c r="E8" s="25" t="s">
        <v>95</v>
      </c>
      <c r="F8" s="20" t="s">
        <v>30</v>
      </c>
      <c r="G8" s="92" t="s">
        <v>85</v>
      </c>
      <c r="H8" s="92" t="s">
        <v>85</v>
      </c>
      <c r="I8" s="92" t="s">
        <v>85</v>
      </c>
      <c r="J8" s="12" t="s">
        <v>85</v>
      </c>
      <c r="K8" s="12" t="s">
        <v>85</v>
      </c>
      <c r="L8" s="85" t="s">
        <v>85</v>
      </c>
      <c r="M8" s="85" t="s">
        <v>85</v>
      </c>
      <c r="N8" s="12" t="s">
        <v>85</v>
      </c>
      <c r="O8" s="92" t="s">
        <v>85</v>
      </c>
      <c r="P8" s="92" t="s">
        <v>85</v>
      </c>
      <c r="Q8" s="12" t="s">
        <v>85</v>
      </c>
      <c r="R8" s="12" t="s">
        <v>85</v>
      </c>
      <c r="S8" s="85" t="s">
        <v>85</v>
      </c>
      <c r="T8" s="85" t="s">
        <v>85</v>
      </c>
      <c r="U8" s="12">
        <v>3</v>
      </c>
      <c r="V8" s="92">
        <v>3</v>
      </c>
      <c r="W8" s="92">
        <v>3</v>
      </c>
      <c r="X8" s="92">
        <v>3</v>
      </c>
      <c r="Y8" s="92">
        <v>3</v>
      </c>
      <c r="Z8" s="85">
        <v>3</v>
      </c>
      <c r="AA8" s="85" t="s">
        <v>85</v>
      </c>
      <c r="AB8" s="92">
        <v>3</v>
      </c>
      <c r="AC8" s="92">
        <v>3</v>
      </c>
      <c r="AD8" s="92">
        <v>3</v>
      </c>
      <c r="AE8" s="92">
        <v>3</v>
      </c>
      <c r="AF8" s="92">
        <v>2</v>
      </c>
      <c r="AG8" s="85">
        <v>2</v>
      </c>
      <c r="AH8" s="85">
        <v>5</v>
      </c>
      <c r="AI8" s="92">
        <v>3</v>
      </c>
      <c r="AJ8" s="92">
        <v>3</v>
      </c>
      <c r="AK8" s="12"/>
      <c r="AL8" s="15">
        <f>SUM(G8:AK8)</f>
        <v>45</v>
      </c>
      <c r="AM8" s="89"/>
      <c r="AN8" s="89"/>
      <c r="AO8" s="78">
        <f t="shared" ref="AO8:AO45" si="0">50-AL8</f>
        <v>5</v>
      </c>
    </row>
    <row r="9" spans="1:42" s="32" customFormat="1" x14ac:dyDescent="0.25">
      <c r="A9" s="18">
        <v>2</v>
      </c>
      <c r="B9" s="19"/>
      <c r="C9" s="53">
        <v>292687</v>
      </c>
      <c r="D9" s="54">
        <v>17780206102</v>
      </c>
      <c r="E9" s="21" t="s">
        <v>42</v>
      </c>
      <c r="F9" s="20" t="s">
        <v>16</v>
      </c>
      <c r="G9" s="92">
        <v>3</v>
      </c>
      <c r="H9" s="92">
        <v>2</v>
      </c>
      <c r="I9" s="92">
        <v>2</v>
      </c>
      <c r="J9" s="12">
        <v>2</v>
      </c>
      <c r="K9" s="12">
        <v>2</v>
      </c>
      <c r="L9" s="85" t="s">
        <v>85</v>
      </c>
      <c r="M9" s="85" t="s">
        <v>85</v>
      </c>
      <c r="N9" s="12">
        <v>2</v>
      </c>
      <c r="O9" s="92">
        <v>2</v>
      </c>
      <c r="P9" s="92">
        <v>2</v>
      </c>
      <c r="Q9" s="12">
        <v>2</v>
      </c>
      <c r="R9" s="12">
        <v>2</v>
      </c>
      <c r="S9" s="85" t="s">
        <v>85</v>
      </c>
      <c r="T9" s="85" t="s">
        <v>85</v>
      </c>
      <c r="U9" s="12">
        <v>2</v>
      </c>
      <c r="V9" s="92">
        <v>2</v>
      </c>
      <c r="W9" s="92">
        <v>2</v>
      </c>
      <c r="X9" s="92">
        <v>2</v>
      </c>
      <c r="Y9" s="92">
        <v>2</v>
      </c>
      <c r="Z9" s="85" t="s">
        <v>85</v>
      </c>
      <c r="AA9" s="85" t="s">
        <v>85</v>
      </c>
      <c r="AB9" s="92">
        <v>2</v>
      </c>
      <c r="AC9" s="92">
        <v>2</v>
      </c>
      <c r="AD9" s="92">
        <v>2</v>
      </c>
      <c r="AE9" s="92">
        <v>2</v>
      </c>
      <c r="AF9" s="92">
        <v>2</v>
      </c>
      <c r="AG9" s="85" t="s">
        <v>85</v>
      </c>
      <c r="AH9" s="85" t="s">
        <v>85</v>
      </c>
      <c r="AI9" s="92">
        <v>2</v>
      </c>
      <c r="AJ9" s="92">
        <v>2</v>
      </c>
      <c r="AK9" s="12"/>
      <c r="AL9" s="15">
        <f t="shared" ref="AL9:AL45" si="1">SUM(G9:AK9)</f>
        <v>45</v>
      </c>
      <c r="AM9" s="16"/>
      <c r="AN9" s="16"/>
      <c r="AO9" s="78">
        <f t="shared" si="0"/>
        <v>5</v>
      </c>
      <c r="AP9" s="5"/>
    </row>
    <row r="10" spans="1:42" s="32" customFormat="1" x14ac:dyDescent="0.25">
      <c r="A10" s="18">
        <v>3</v>
      </c>
      <c r="B10" s="19"/>
      <c r="C10" s="53">
        <v>304066</v>
      </c>
      <c r="D10" s="28">
        <v>13435205384</v>
      </c>
      <c r="E10" s="21" t="s">
        <v>43</v>
      </c>
      <c r="F10" s="20" t="s">
        <v>16</v>
      </c>
      <c r="G10" s="92">
        <v>3</v>
      </c>
      <c r="H10" s="92">
        <v>2</v>
      </c>
      <c r="I10" s="92">
        <v>2</v>
      </c>
      <c r="J10" s="12">
        <v>2</v>
      </c>
      <c r="K10" s="12">
        <v>2</v>
      </c>
      <c r="L10" s="85" t="s">
        <v>85</v>
      </c>
      <c r="M10" s="85" t="s">
        <v>85</v>
      </c>
      <c r="N10" s="12">
        <v>2</v>
      </c>
      <c r="O10" s="92">
        <v>2</v>
      </c>
      <c r="P10" s="92">
        <v>2</v>
      </c>
      <c r="Q10" s="12">
        <v>2</v>
      </c>
      <c r="R10" s="12">
        <v>2</v>
      </c>
      <c r="S10" s="85" t="s">
        <v>85</v>
      </c>
      <c r="T10" s="85" t="s">
        <v>85</v>
      </c>
      <c r="U10" s="12">
        <v>2</v>
      </c>
      <c r="V10" s="92">
        <v>2</v>
      </c>
      <c r="W10" s="92">
        <v>2</v>
      </c>
      <c r="X10" s="92">
        <v>2</v>
      </c>
      <c r="Y10" s="92">
        <v>2</v>
      </c>
      <c r="Z10" s="85" t="s">
        <v>85</v>
      </c>
      <c r="AA10" s="85" t="s">
        <v>85</v>
      </c>
      <c r="AB10" s="92">
        <v>2</v>
      </c>
      <c r="AC10" s="92">
        <v>2</v>
      </c>
      <c r="AD10" s="92">
        <v>2</v>
      </c>
      <c r="AE10" s="92">
        <v>2</v>
      </c>
      <c r="AF10" s="92">
        <v>2</v>
      </c>
      <c r="AG10" s="85" t="s">
        <v>85</v>
      </c>
      <c r="AH10" s="85" t="s">
        <v>85</v>
      </c>
      <c r="AI10" s="92">
        <v>2</v>
      </c>
      <c r="AJ10" s="92">
        <v>2</v>
      </c>
      <c r="AK10" s="12"/>
      <c r="AL10" s="15">
        <f t="shared" si="1"/>
        <v>45</v>
      </c>
      <c r="AM10" s="16"/>
      <c r="AN10" s="16"/>
      <c r="AO10" s="78">
        <f t="shared" si="0"/>
        <v>5</v>
      </c>
      <c r="AP10" s="5"/>
    </row>
    <row r="11" spans="1:42" s="32" customFormat="1" x14ac:dyDescent="0.25">
      <c r="A11" s="18">
        <v>4</v>
      </c>
      <c r="B11" s="19"/>
      <c r="C11" s="53">
        <v>287485</v>
      </c>
      <c r="D11" s="54">
        <v>36779025470</v>
      </c>
      <c r="E11" s="21" t="s">
        <v>44</v>
      </c>
      <c r="F11" s="20" t="s">
        <v>16</v>
      </c>
      <c r="G11" s="92">
        <v>2</v>
      </c>
      <c r="H11" s="92">
        <v>2</v>
      </c>
      <c r="I11" s="92">
        <v>2</v>
      </c>
      <c r="J11" s="12">
        <v>2</v>
      </c>
      <c r="K11" s="12">
        <v>2</v>
      </c>
      <c r="L11" s="85" t="s">
        <v>85</v>
      </c>
      <c r="M11" s="85" t="s">
        <v>85</v>
      </c>
      <c r="N11" s="12">
        <v>2</v>
      </c>
      <c r="O11" s="92">
        <v>2</v>
      </c>
      <c r="P11" s="92">
        <v>2</v>
      </c>
      <c r="Q11" s="12">
        <v>2</v>
      </c>
      <c r="R11" s="12">
        <v>2</v>
      </c>
      <c r="S11" s="85" t="s">
        <v>85</v>
      </c>
      <c r="T11" s="85" t="s">
        <v>85</v>
      </c>
      <c r="U11" s="12">
        <v>3</v>
      </c>
      <c r="V11" s="92" t="s">
        <v>85</v>
      </c>
      <c r="W11" s="92" t="s">
        <v>85</v>
      </c>
      <c r="X11" s="92">
        <v>3</v>
      </c>
      <c r="Y11" s="92">
        <v>3</v>
      </c>
      <c r="Z11" s="85" t="s">
        <v>85</v>
      </c>
      <c r="AA11" s="85" t="s">
        <v>85</v>
      </c>
      <c r="AB11" s="92">
        <v>2</v>
      </c>
      <c r="AC11" s="92">
        <v>2</v>
      </c>
      <c r="AD11" s="92">
        <v>2</v>
      </c>
      <c r="AE11" s="92">
        <v>2</v>
      </c>
      <c r="AF11" s="92">
        <v>2</v>
      </c>
      <c r="AG11" s="85" t="s">
        <v>85</v>
      </c>
      <c r="AH11" s="85" t="s">
        <v>85</v>
      </c>
      <c r="AI11" s="92">
        <v>3</v>
      </c>
      <c r="AJ11" s="92">
        <v>3</v>
      </c>
      <c r="AK11" s="12"/>
      <c r="AL11" s="15">
        <f t="shared" si="1"/>
        <v>45</v>
      </c>
      <c r="AM11" s="16"/>
      <c r="AN11" s="16"/>
      <c r="AO11" s="78">
        <f t="shared" si="0"/>
        <v>5</v>
      </c>
      <c r="AP11" s="5"/>
    </row>
    <row r="12" spans="1:42" s="32" customFormat="1" x14ac:dyDescent="0.25">
      <c r="A12" s="18">
        <v>5</v>
      </c>
      <c r="B12" s="19"/>
      <c r="C12" s="53">
        <v>287520</v>
      </c>
      <c r="D12" s="54">
        <v>47089654014</v>
      </c>
      <c r="E12" s="21" t="s">
        <v>45</v>
      </c>
      <c r="F12" s="20" t="s">
        <v>16</v>
      </c>
      <c r="G12" s="92">
        <v>3</v>
      </c>
      <c r="H12" s="92">
        <v>3</v>
      </c>
      <c r="I12" s="92">
        <v>3</v>
      </c>
      <c r="J12" s="12">
        <v>3</v>
      </c>
      <c r="K12" s="12">
        <v>3</v>
      </c>
      <c r="L12" s="85" t="s">
        <v>85</v>
      </c>
      <c r="M12" s="85" t="s">
        <v>85</v>
      </c>
      <c r="N12" s="12">
        <v>3</v>
      </c>
      <c r="O12" s="92">
        <v>3</v>
      </c>
      <c r="P12" s="92">
        <v>2</v>
      </c>
      <c r="Q12" s="12">
        <v>2</v>
      </c>
      <c r="R12" s="12" t="s">
        <v>85</v>
      </c>
      <c r="S12" s="85" t="s">
        <v>85</v>
      </c>
      <c r="T12" s="85" t="s">
        <v>85</v>
      </c>
      <c r="U12" s="12" t="s">
        <v>85</v>
      </c>
      <c r="V12" s="92">
        <v>3</v>
      </c>
      <c r="W12" s="92">
        <v>3</v>
      </c>
      <c r="X12" s="92">
        <v>2</v>
      </c>
      <c r="Y12" s="92">
        <v>2</v>
      </c>
      <c r="Z12" s="85" t="s">
        <v>85</v>
      </c>
      <c r="AA12" s="85" t="s">
        <v>85</v>
      </c>
      <c r="AB12" s="92" t="s">
        <v>85</v>
      </c>
      <c r="AC12" s="92">
        <v>2</v>
      </c>
      <c r="AD12" s="92">
        <v>2</v>
      </c>
      <c r="AE12" s="92">
        <v>2</v>
      </c>
      <c r="AF12" s="92">
        <v>2</v>
      </c>
      <c r="AG12" s="85" t="s">
        <v>85</v>
      </c>
      <c r="AH12" s="85" t="s">
        <v>85</v>
      </c>
      <c r="AI12" s="92">
        <v>2</v>
      </c>
      <c r="AJ12" s="92" t="s">
        <v>85</v>
      </c>
      <c r="AK12" s="12"/>
      <c r="AL12" s="15">
        <f t="shared" si="1"/>
        <v>45</v>
      </c>
      <c r="AM12" s="16"/>
      <c r="AN12" s="16"/>
      <c r="AO12" s="78">
        <f t="shared" si="0"/>
        <v>5</v>
      </c>
      <c r="AP12" s="5"/>
    </row>
    <row r="13" spans="1:42" s="32" customFormat="1" x14ac:dyDescent="0.25">
      <c r="A13" s="18">
        <v>6</v>
      </c>
      <c r="B13" s="19"/>
      <c r="C13" s="53">
        <v>287385</v>
      </c>
      <c r="D13" s="54">
        <v>16145792892</v>
      </c>
      <c r="E13" s="21" t="s">
        <v>46</v>
      </c>
      <c r="F13" s="20" t="s">
        <v>16</v>
      </c>
      <c r="G13" s="92">
        <v>3</v>
      </c>
      <c r="H13" s="92">
        <v>3</v>
      </c>
      <c r="I13" s="92">
        <v>3</v>
      </c>
      <c r="J13" s="12">
        <v>3</v>
      </c>
      <c r="K13" s="12">
        <v>3</v>
      </c>
      <c r="L13" s="85" t="s">
        <v>85</v>
      </c>
      <c r="M13" s="85" t="s">
        <v>85</v>
      </c>
      <c r="N13" s="12">
        <v>3</v>
      </c>
      <c r="O13" s="92">
        <v>2</v>
      </c>
      <c r="P13" s="92">
        <v>2</v>
      </c>
      <c r="Q13" s="12">
        <v>2</v>
      </c>
      <c r="R13" s="12">
        <v>2</v>
      </c>
      <c r="S13" s="85" t="s">
        <v>85</v>
      </c>
      <c r="T13" s="85" t="s">
        <v>85</v>
      </c>
      <c r="U13" s="12">
        <v>2</v>
      </c>
      <c r="V13" s="92">
        <v>2</v>
      </c>
      <c r="W13" s="92">
        <v>2</v>
      </c>
      <c r="X13" s="92" t="s">
        <v>85</v>
      </c>
      <c r="Y13" s="92" t="s">
        <v>85</v>
      </c>
      <c r="Z13" s="85" t="s">
        <v>85</v>
      </c>
      <c r="AA13" s="85" t="s">
        <v>85</v>
      </c>
      <c r="AB13" s="92">
        <v>2</v>
      </c>
      <c r="AC13" s="92">
        <v>2</v>
      </c>
      <c r="AD13" s="92">
        <v>3</v>
      </c>
      <c r="AE13" s="92" t="s">
        <v>85</v>
      </c>
      <c r="AF13" s="92" t="s">
        <v>85</v>
      </c>
      <c r="AG13" s="85" t="s">
        <v>85</v>
      </c>
      <c r="AH13" s="85" t="s">
        <v>85</v>
      </c>
      <c r="AI13" s="92">
        <v>3</v>
      </c>
      <c r="AJ13" s="92">
        <v>3</v>
      </c>
      <c r="AK13" s="12"/>
      <c r="AL13" s="15">
        <f t="shared" si="1"/>
        <v>45</v>
      </c>
      <c r="AM13" s="16"/>
      <c r="AN13" s="16"/>
      <c r="AO13" s="78">
        <f t="shared" si="0"/>
        <v>5</v>
      </c>
      <c r="AP13" s="5"/>
    </row>
    <row r="14" spans="1:42" s="32" customFormat="1" x14ac:dyDescent="0.25">
      <c r="A14" s="18">
        <v>7</v>
      </c>
      <c r="B14" s="19"/>
      <c r="C14" s="54">
        <v>147687</v>
      </c>
      <c r="D14" s="54">
        <v>20654513534</v>
      </c>
      <c r="E14" s="21" t="s">
        <v>87</v>
      </c>
      <c r="F14" s="20" t="s">
        <v>16</v>
      </c>
      <c r="G14" s="92">
        <v>2</v>
      </c>
      <c r="H14" s="92">
        <v>2</v>
      </c>
      <c r="I14" s="92">
        <v>2</v>
      </c>
      <c r="J14" s="12">
        <v>2</v>
      </c>
      <c r="K14" s="12">
        <v>2</v>
      </c>
      <c r="L14" s="85" t="s">
        <v>85</v>
      </c>
      <c r="M14" s="85" t="s">
        <v>85</v>
      </c>
      <c r="N14" s="12">
        <v>2</v>
      </c>
      <c r="O14" s="92">
        <v>2</v>
      </c>
      <c r="P14" s="92">
        <v>2</v>
      </c>
      <c r="Q14" s="12">
        <v>2</v>
      </c>
      <c r="R14" s="12">
        <v>2</v>
      </c>
      <c r="S14" s="85" t="s">
        <v>85</v>
      </c>
      <c r="T14" s="85" t="s">
        <v>85</v>
      </c>
      <c r="U14" s="12">
        <v>2</v>
      </c>
      <c r="V14" s="92">
        <v>2</v>
      </c>
      <c r="W14" s="92">
        <v>2</v>
      </c>
      <c r="X14" s="92">
        <v>2</v>
      </c>
      <c r="Y14" s="92">
        <v>2</v>
      </c>
      <c r="Z14" s="85" t="s">
        <v>85</v>
      </c>
      <c r="AA14" s="85" t="s">
        <v>85</v>
      </c>
      <c r="AB14" s="92">
        <v>3</v>
      </c>
      <c r="AC14" s="92">
        <v>2</v>
      </c>
      <c r="AD14" s="92">
        <v>2</v>
      </c>
      <c r="AE14" s="92">
        <v>2</v>
      </c>
      <c r="AF14" s="92">
        <v>2</v>
      </c>
      <c r="AG14" s="85" t="s">
        <v>85</v>
      </c>
      <c r="AH14" s="85" t="s">
        <v>85</v>
      </c>
      <c r="AI14" s="92">
        <v>2</v>
      </c>
      <c r="AJ14" s="92">
        <v>2</v>
      </c>
      <c r="AK14" s="12"/>
      <c r="AL14" s="15">
        <f t="shared" si="1"/>
        <v>45</v>
      </c>
      <c r="AM14" s="16"/>
      <c r="AN14" s="16"/>
      <c r="AO14" s="78">
        <f t="shared" si="0"/>
        <v>5</v>
      </c>
      <c r="AP14" s="5"/>
    </row>
    <row r="15" spans="1:42" s="32" customFormat="1" x14ac:dyDescent="0.25">
      <c r="A15" s="18">
        <v>8</v>
      </c>
      <c r="B15" s="19"/>
      <c r="C15" s="53">
        <v>304615</v>
      </c>
      <c r="D15" s="54">
        <v>17788074710</v>
      </c>
      <c r="E15" s="21" t="s">
        <v>48</v>
      </c>
      <c r="F15" s="20" t="s">
        <v>16</v>
      </c>
      <c r="G15" s="92">
        <v>2</v>
      </c>
      <c r="H15" s="92">
        <v>2</v>
      </c>
      <c r="I15" s="92">
        <v>2</v>
      </c>
      <c r="J15" s="12">
        <v>2</v>
      </c>
      <c r="K15" s="12">
        <v>2</v>
      </c>
      <c r="L15" s="85" t="s">
        <v>85</v>
      </c>
      <c r="M15" s="85" t="s">
        <v>85</v>
      </c>
      <c r="N15" s="12">
        <v>2</v>
      </c>
      <c r="O15" s="92">
        <v>2</v>
      </c>
      <c r="P15" s="92">
        <v>2</v>
      </c>
      <c r="Q15" s="12">
        <v>2</v>
      </c>
      <c r="R15" s="12">
        <v>2</v>
      </c>
      <c r="S15" s="85" t="s">
        <v>85</v>
      </c>
      <c r="T15" s="85" t="s">
        <v>85</v>
      </c>
      <c r="U15" s="12">
        <v>2</v>
      </c>
      <c r="V15" s="92">
        <v>2</v>
      </c>
      <c r="W15" s="92">
        <v>2</v>
      </c>
      <c r="X15" s="92">
        <v>2</v>
      </c>
      <c r="Y15" s="92">
        <v>2</v>
      </c>
      <c r="Z15" s="85" t="s">
        <v>85</v>
      </c>
      <c r="AA15" s="85" t="s">
        <v>85</v>
      </c>
      <c r="AB15" s="92">
        <v>2</v>
      </c>
      <c r="AC15" s="92">
        <v>2</v>
      </c>
      <c r="AD15" s="92">
        <v>2</v>
      </c>
      <c r="AE15" s="92">
        <v>2</v>
      </c>
      <c r="AF15" s="92">
        <v>2</v>
      </c>
      <c r="AG15" s="85" t="s">
        <v>85</v>
      </c>
      <c r="AH15" s="85" t="s">
        <v>85</v>
      </c>
      <c r="AI15" s="92">
        <v>2</v>
      </c>
      <c r="AJ15" s="92">
        <v>3</v>
      </c>
      <c r="AK15" s="12"/>
      <c r="AL15" s="15">
        <f t="shared" si="1"/>
        <v>45</v>
      </c>
      <c r="AM15" s="16"/>
      <c r="AN15" s="16"/>
      <c r="AO15" s="78">
        <f t="shared" si="0"/>
        <v>5</v>
      </c>
      <c r="AP15" s="5"/>
    </row>
    <row r="16" spans="1:42" s="32" customFormat="1" x14ac:dyDescent="0.25">
      <c r="A16" s="18">
        <v>9</v>
      </c>
      <c r="B16" s="19"/>
      <c r="C16" s="53">
        <v>287441</v>
      </c>
      <c r="D16" s="54">
        <v>26831423368</v>
      </c>
      <c r="E16" s="21" t="s">
        <v>49</v>
      </c>
      <c r="F16" s="20" t="s">
        <v>16</v>
      </c>
      <c r="G16" s="92">
        <v>2</v>
      </c>
      <c r="H16" s="92">
        <v>2</v>
      </c>
      <c r="I16" s="92">
        <v>2</v>
      </c>
      <c r="J16" s="12">
        <v>2</v>
      </c>
      <c r="K16" s="12">
        <v>2</v>
      </c>
      <c r="L16" s="85" t="s">
        <v>85</v>
      </c>
      <c r="M16" s="85" t="s">
        <v>85</v>
      </c>
      <c r="N16" s="12">
        <v>2</v>
      </c>
      <c r="O16" s="92">
        <v>2</v>
      </c>
      <c r="P16" s="92">
        <v>2</v>
      </c>
      <c r="Q16" s="12">
        <v>2</v>
      </c>
      <c r="R16" s="12">
        <v>2</v>
      </c>
      <c r="S16" s="85" t="s">
        <v>85</v>
      </c>
      <c r="T16" s="85" t="s">
        <v>85</v>
      </c>
      <c r="U16" s="12">
        <v>2</v>
      </c>
      <c r="V16" s="92">
        <v>2</v>
      </c>
      <c r="W16" s="92">
        <v>2</v>
      </c>
      <c r="X16" s="92">
        <v>2</v>
      </c>
      <c r="Y16" s="92">
        <v>2</v>
      </c>
      <c r="Z16" s="85" t="s">
        <v>85</v>
      </c>
      <c r="AA16" s="85" t="s">
        <v>85</v>
      </c>
      <c r="AB16" s="92">
        <v>2</v>
      </c>
      <c r="AC16" s="92">
        <v>2</v>
      </c>
      <c r="AD16" s="92">
        <v>2</v>
      </c>
      <c r="AE16" s="92">
        <v>2</v>
      </c>
      <c r="AF16" s="92">
        <v>3</v>
      </c>
      <c r="AG16" s="85" t="s">
        <v>85</v>
      </c>
      <c r="AH16" s="85" t="s">
        <v>85</v>
      </c>
      <c r="AI16" s="92">
        <v>2</v>
      </c>
      <c r="AJ16" s="92">
        <v>2</v>
      </c>
      <c r="AK16" s="12"/>
      <c r="AL16" s="15">
        <f t="shared" si="1"/>
        <v>45</v>
      </c>
      <c r="AM16" s="16"/>
      <c r="AN16" s="16"/>
      <c r="AO16" s="78">
        <f t="shared" si="0"/>
        <v>5</v>
      </c>
      <c r="AP16" s="5"/>
    </row>
    <row r="17" spans="1:42" s="32" customFormat="1" x14ac:dyDescent="0.25">
      <c r="A17" s="18">
        <v>10</v>
      </c>
      <c r="B17" s="19"/>
      <c r="C17" s="53">
        <v>304647</v>
      </c>
      <c r="D17" s="54">
        <v>46657910828</v>
      </c>
      <c r="E17" s="21" t="s">
        <v>50</v>
      </c>
      <c r="F17" s="20" t="s">
        <v>16</v>
      </c>
      <c r="G17" s="92">
        <v>2</v>
      </c>
      <c r="H17" s="92">
        <v>2</v>
      </c>
      <c r="I17" s="92">
        <v>2</v>
      </c>
      <c r="J17" s="12">
        <v>2</v>
      </c>
      <c r="K17" s="12">
        <v>2</v>
      </c>
      <c r="L17" s="85" t="s">
        <v>85</v>
      </c>
      <c r="M17" s="85" t="s">
        <v>85</v>
      </c>
      <c r="N17" s="12">
        <v>2</v>
      </c>
      <c r="O17" s="92">
        <v>2</v>
      </c>
      <c r="P17" s="92">
        <v>2</v>
      </c>
      <c r="Q17" s="12">
        <v>2</v>
      </c>
      <c r="R17" s="12">
        <v>2</v>
      </c>
      <c r="S17" s="85" t="s">
        <v>85</v>
      </c>
      <c r="T17" s="85" t="s">
        <v>85</v>
      </c>
      <c r="U17" s="12">
        <v>2</v>
      </c>
      <c r="V17" s="92">
        <v>2</v>
      </c>
      <c r="W17" s="92">
        <v>2</v>
      </c>
      <c r="X17" s="92">
        <v>2</v>
      </c>
      <c r="Y17" s="92">
        <v>2</v>
      </c>
      <c r="Z17" s="85" t="s">
        <v>85</v>
      </c>
      <c r="AA17" s="85" t="s">
        <v>85</v>
      </c>
      <c r="AB17" s="92">
        <v>2</v>
      </c>
      <c r="AC17" s="92">
        <v>2</v>
      </c>
      <c r="AD17" s="92">
        <v>2</v>
      </c>
      <c r="AE17" s="92">
        <v>2</v>
      </c>
      <c r="AF17" s="92">
        <v>3</v>
      </c>
      <c r="AG17" s="85" t="s">
        <v>85</v>
      </c>
      <c r="AH17" s="85" t="s">
        <v>85</v>
      </c>
      <c r="AI17" s="92">
        <v>2</v>
      </c>
      <c r="AJ17" s="92">
        <v>2</v>
      </c>
      <c r="AK17" s="12"/>
      <c r="AL17" s="15">
        <f t="shared" si="1"/>
        <v>45</v>
      </c>
      <c r="AM17" s="16"/>
      <c r="AN17" s="16"/>
      <c r="AO17" s="78">
        <f t="shared" si="0"/>
        <v>5</v>
      </c>
      <c r="AP17" s="5"/>
    </row>
    <row r="18" spans="1:42" s="32" customFormat="1" x14ac:dyDescent="0.25">
      <c r="A18" s="18">
        <v>11</v>
      </c>
      <c r="B18" s="19"/>
      <c r="C18" s="53">
        <v>304777</v>
      </c>
      <c r="D18" s="54">
        <v>55948486874</v>
      </c>
      <c r="E18" s="21" t="s">
        <v>51</v>
      </c>
      <c r="F18" s="20" t="s">
        <v>16</v>
      </c>
      <c r="G18" s="92">
        <v>3</v>
      </c>
      <c r="H18" s="92">
        <v>3</v>
      </c>
      <c r="I18" s="92">
        <v>3</v>
      </c>
      <c r="J18" s="12">
        <v>2</v>
      </c>
      <c r="K18" s="12">
        <v>2</v>
      </c>
      <c r="L18" s="85" t="s">
        <v>85</v>
      </c>
      <c r="M18" s="85" t="s">
        <v>85</v>
      </c>
      <c r="N18" s="12">
        <v>3</v>
      </c>
      <c r="O18" s="92">
        <v>3</v>
      </c>
      <c r="P18" s="92">
        <v>2</v>
      </c>
      <c r="Q18" s="12">
        <v>2</v>
      </c>
      <c r="R18" s="12">
        <v>2</v>
      </c>
      <c r="S18" s="85" t="s">
        <v>85</v>
      </c>
      <c r="T18" s="85" t="s">
        <v>85</v>
      </c>
      <c r="U18" s="12" t="s">
        <v>85</v>
      </c>
      <c r="V18" s="92">
        <v>2</v>
      </c>
      <c r="W18" s="92">
        <v>2</v>
      </c>
      <c r="X18" s="92">
        <v>2</v>
      </c>
      <c r="Y18" s="92">
        <v>2</v>
      </c>
      <c r="Z18" s="85" t="s">
        <v>85</v>
      </c>
      <c r="AA18" s="85" t="s">
        <v>85</v>
      </c>
      <c r="AB18" s="92">
        <v>2</v>
      </c>
      <c r="AC18" s="92">
        <v>2</v>
      </c>
      <c r="AD18" s="92">
        <v>2</v>
      </c>
      <c r="AE18" s="92">
        <v>2</v>
      </c>
      <c r="AF18" s="92">
        <v>2</v>
      </c>
      <c r="AG18" s="85" t="s">
        <v>85</v>
      </c>
      <c r="AH18" s="85" t="s">
        <v>85</v>
      </c>
      <c r="AI18" s="92">
        <v>2</v>
      </c>
      <c r="AJ18" s="92" t="s">
        <v>85</v>
      </c>
      <c r="AK18" s="12"/>
      <c r="AL18" s="15">
        <f t="shared" si="1"/>
        <v>45</v>
      </c>
      <c r="AM18" s="16"/>
      <c r="AN18" s="16"/>
      <c r="AO18" s="78">
        <f t="shared" si="0"/>
        <v>5</v>
      </c>
      <c r="AP18" s="5"/>
    </row>
    <row r="19" spans="1:42" s="32" customFormat="1" x14ac:dyDescent="0.25">
      <c r="A19" s="18">
        <v>12</v>
      </c>
      <c r="B19" s="19"/>
      <c r="C19" s="53">
        <v>304760</v>
      </c>
      <c r="D19" s="54">
        <v>41857369766</v>
      </c>
      <c r="E19" s="21" t="s">
        <v>52</v>
      </c>
      <c r="F19" s="20" t="s">
        <v>16</v>
      </c>
      <c r="G19" s="92">
        <v>2</v>
      </c>
      <c r="H19" s="92">
        <v>2</v>
      </c>
      <c r="I19" s="92">
        <v>2</v>
      </c>
      <c r="J19" s="12">
        <v>2</v>
      </c>
      <c r="K19" s="12">
        <v>2</v>
      </c>
      <c r="L19" s="85" t="s">
        <v>85</v>
      </c>
      <c r="M19" s="85" t="s">
        <v>85</v>
      </c>
      <c r="N19" s="12">
        <v>2</v>
      </c>
      <c r="O19" s="92">
        <v>2</v>
      </c>
      <c r="P19" s="92">
        <v>2</v>
      </c>
      <c r="Q19" s="12">
        <v>2</v>
      </c>
      <c r="R19" s="12">
        <v>2</v>
      </c>
      <c r="S19" s="85" t="s">
        <v>85</v>
      </c>
      <c r="T19" s="85" t="s">
        <v>85</v>
      </c>
      <c r="U19" s="12">
        <v>2</v>
      </c>
      <c r="V19" s="92">
        <v>2</v>
      </c>
      <c r="W19" s="92">
        <v>2</v>
      </c>
      <c r="X19" s="92">
        <v>2</v>
      </c>
      <c r="Y19" s="92">
        <v>2</v>
      </c>
      <c r="Z19" s="85" t="s">
        <v>85</v>
      </c>
      <c r="AA19" s="85" t="s">
        <v>85</v>
      </c>
      <c r="AB19" s="92">
        <v>2</v>
      </c>
      <c r="AC19" s="92" t="s">
        <v>85</v>
      </c>
      <c r="AD19" s="92">
        <v>2</v>
      </c>
      <c r="AE19" s="92">
        <v>2</v>
      </c>
      <c r="AF19" s="92">
        <v>3</v>
      </c>
      <c r="AG19" s="85" t="s">
        <v>85</v>
      </c>
      <c r="AH19" s="85" t="s">
        <v>85</v>
      </c>
      <c r="AI19" s="92">
        <v>3</v>
      </c>
      <c r="AJ19" s="92">
        <v>3</v>
      </c>
      <c r="AK19" s="12"/>
      <c r="AL19" s="15">
        <f t="shared" si="1"/>
        <v>45</v>
      </c>
      <c r="AM19" s="16"/>
      <c r="AN19" s="16"/>
      <c r="AO19" s="78">
        <f t="shared" si="0"/>
        <v>5</v>
      </c>
      <c r="AP19" s="5"/>
    </row>
    <row r="20" spans="1:42" s="32" customFormat="1" x14ac:dyDescent="0.25">
      <c r="A20" s="18">
        <v>13</v>
      </c>
      <c r="B20" s="19"/>
      <c r="C20" s="53">
        <v>110942</v>
      </c>
      <c r="D20" s="54">
        <v>12065762830</v>
      </c>
      <c r="E20" s="21" t="s">
        <v>53</v>
      </c>
      <c r="F20" s="20" t="s">
        <v>16</v>
      </c>
      <c r="G20" s="92">
        <v>3</v>
      </c>
      <c r="H20" s="92">
        <v>2</v>
      </c>
      <c r="I20" s="92">
        <v>2</v>
      </c>
      <c r="J20" s="12">
        <v>2</v>
      </c>
      <c r="K20" s="12">
        <v>2</v>
      </c>
      <c r="L20" s="85" t="s">
        <v>85</v>
      </c>
      <c r="M20" s="85" t="s">
        <v>85</v>
      </c>
      <c r="N20" s="12">
        <v>2</v>
      </c>
      <c r="O20" s="92">
        <v>2</v>
      </c>
      <c r="P20" s="92">
        <v>2</v>
      </c>
      <c r="Q20" s="12">
        <v>2</v>
      </c>
      <c r="R20" s="12">
        <v>2</v>
      </c>
      <c r="S20" s="85" t="s">
        <v>85</v>
      </c>
      <c r="T20" s="85" t="s">
        <v>85</v>
      </c>
      <c r="U20" s="12">
        <v>2</v>
      </c>
      <c r="V20" s="92">
        <v>2</v>
      </c>
      <c r="W20" s="92">
        <v>2</v>
      </c>
      <c r="X20" s="92">
        <v>2</v>
      </c>
      <c r="Y20" s="92">
        <v>2</v>
      </c>
      <c r="Z20" s="85" t="s">
        <v>85</v>
      </c>
      <c r="AA20" s="85" t="s">
        <v>85</v>
      </c>
      <c r="AB20" s="92">
        <v>2</v>
      </c>
      <c r="AC20" s="92">
        <v>2</v>
      </c>
      <c r="AD20" s="92">
        <v>2</v>
      </c>
      <c r="AE20" s="92">
        <v>2</v>
      </c>
      <c r="AF20" s="92">
        <v>2</v>
      </c>
      <c r="AG20" s="85" t="s">
        <v>85</v>
      </c>
      <c r="AH20" s="85" t="s">
        <v>85</v>
      </c>
      <c r="AI20" s="92">
        <v>2</v>
      </c>
      <c r="AJ20" s="92">
        <v>2</v>
      </c>
      <c r="AK20" s="12"/>
      <c r="AL20" s="15">
        <f t="shared" si="1"/>
        <v>45</v>
      </c>
      <c r="AM20" s="16"/>
      <c r="AN20" s="16"/>
      <c r="AO20" s="78">
        <f t="shared" si="0"/>
        <v>5</v>
      </c>
      <c r="AP20" s="5"/>
    </row>
    <row r="21" spans="1:42" s="32" customFormat="1" x14ac:dyDescent="0.25">
      <c r="A21" s="18">
        <v>14</v>
      </c>
      <c r="B21" s="19"/>
      <c r="C21" s="53">
        <v>229779</v>
      </c>
      <c r="D21" s="54">
        <v>21281416588</v>
      </c>
      <c r="E21" s="21" t="s">
        <v>54</v>
      </c>
      <c r="F21" s="20" t="s">
        <v>16</v>
      </c>
      <c r="G21" s="92">
        <v>3</v>
      </c>
      <c r="H21" s="92">
        <v>2</v>
      </c>
      <c r="I21" s="92">
        <v>2</v>
      </c>
      <c r="J21" s="12">
        <v>2</v>
      </c>
      <c r="K21" s="12">
        <v>2</v>
      </c>
      <c r="L21" s="85" t="s">
        <v>85</v>
      </c>
      <c r="M21" s="85" t="s">
        <v>85</v>
      </c>
      <c r="N21" s="12">
        <v>2</v>
      </c>
      <c r="O21" s="92">
        <v>2</v>
      </c>
      <c r="P21" s="92">
        <v>2</v>
      </c>
      <c r="Q21" s="12">
        <v>2</v>
      </c>
      <c r="R21" s="12" t="s">
        <v>85</v>
      </c>
      <c r="S21" s="85" t="s">
        <v>85</v>
      </c>
      <c r="T21" s="85" t="s">
        <v>85</v>
      </c>
      <c r="U21" s="12">
        <v>3</v>
      </c>
      <c r="V21" s="92">
        <v>3</v>
      </c>
      <c r="W21" s="92">
        <v>3</v>
      </c>
      <c r="X21" s="92">
        <v>3</v>
      </c>
      <c r="Y21" s="92">
        <v>3</v>
      </c>
      <c r="Z21" s="85" t="s">
        <v>85</v>
      </c>
      <c r="AA21" s="85" t="s">
        <v>85</v>
      </c>
      <c r="AB21" s="92">
        <v>2</v>
      </c>
      <c r="AC21" s="92">
        <v>2</v>
      </c>
      <c r="AD21" s="92">
        <v>2</v>
      </c>
      <c r="AE21" s="92">
        <v>2</v>
      </c>
      <c r="AF21" s="92">
        <v>3</v>
      </c>
      <c r="AG21" s="85" t="s">
        <v>85</v>
      </c>
      <c r="AH21" s="85" t="s">
        <v>85</v>
      </c>
      <c r="AI21" s="92" t="s">
        <v>85</v>
      </c>
      <c r="AJ21" s="92" t="s">
        <v>85</v>
      </c>
      <c r="AK21" s="12"/>
      <c r="AL21" s="15">
        <f t="shared" si="1"/>
        <v>45</v>
      </c>
      <c r="AM21" s="16"/>
      <c r="AN21" s="16"/>
      <c r="AO21" s="78">
        <f t="shared" si="0"/>
        <v>5</v>
      </c>
      <c r="AP21" s="5"/>
    </row>
    <row r="22" spans="1:42" s="32" customFormat="1" x14ac:dyDescent="0.25">
      <c r="A22" s="18">
        <v>15</v>
      </c>
      <c r="B22" s="19"/>
      <c r="C22" s="53">
        <v>253212</v>
      </c>
      <c r="D22" s="54">
        <v>15344845576</v>
      </c>
      <c r="E22" s="21" t="s">
        <v>55</v>
      </c>
      <c r="F22" s="20" t="s">
        <v>16</v>
      </c>
      <c r="G22" s="92">
        <v>3</v>
      </c>
      <c r="H22" s="92">
        <v>3</v>
      </c>
      <c r="I22" s="92">
        <v>3</v>
      </c>
      <c r="J22" s="12">
        <v>3</v>
      </c>
      <c r="K22" s="12">
        <v>3</v>
      </c>
      <c r="L22" s="85" t="s">
        <v>85</v>
      </c>
      <c r="M22" s="85" t="s">
        <v>85</v>
      </c>
      <c r="N22" s="12">
        <v>3</v>
      </c>
      <c r="O22" s="92">
        <v>3</v>
      </c>
      <c r="P22" s="92">
        <v>3</v>
      </c>
      <c r="Q22" s="12">
        <v>3</v>
      </c>
      <c r="R22" s="12">
        <v>3</v>
      </c>
      <c r="S22" s="85" t="s">
        <v>85</v>
      </c>
      <c r="T22" s="85" t="s">
        <v>85</v>
      </c>
      <c r="U22" s="12">
        <v>3</v>
      </c>
      <c r="V22" s="92">
        <v>3</v>
      </c>
      <c r="W22" s="92">
        <v>3</v>
      </c>
      <c r="X22" s="92">
        <v>3</v>
      </c>
      <c r="Y22" s="92">
        <v>3</v>
      </c>
      <c r="Z22" s="85" t="s">
        <v>85</v>
      </c>
      <c r="AA22" s="85" t="s">
        <v>85</v>
      </c>
      <c r="AB22" s="92" t="s">
        <v>85</v>
      </c>
      <c r="AC22" s="92" t="s">
        <v>85</v>
      </c>
      <c r="AD22" s="92" t="s">
        <v>85</v>
      </c>
      <c r="AE22" s="92" t="s">
        <v>85</v>
      </c>
      <c r="AF22" s="92" t="s">
        <v>85</v>
      </c>
      <c r="AG22" s="85" t="s">
        <v>85</v>
      </c>
      <c r="AH22" s="85" t="s">
        <v>85</v>
      </c>
      <c r="AI22" s="92" t="s">
        <v>85</v>
      </c>
      <c r="AJ22" s="92" t="s">
        <v>85</v>
      </c>
      <c r="AK22" s="12"/>
      <c r="AL22" s="15">
        <f t="shared" si="1"/>
        <v>45</v>
      </c>
      <c r="AM22" s="16"/>
      <c r="AN22" s="16"/>
      <c r="AO22" s="78">
        <f t="shared" si="0"/>
        <v>5</v>
      </c>
      <c r="AP22" s="5"/>
    </row>
    <row r="23" spans="1:42" s="32" customFormat="1" x14ac:dyDescent="0.25">
      <c r="A23" s="18">
        <v>16</v>
      </c>
      <c r="B23" s="19"/>
      <c r="C23" s="53">
        <v>222207</v>
      </c>
      <c r="D23" s="54">
        <v>13879006622</v>
      </c>
      <c r="E23" s="21" t="s">
        <v>56</v>
      </c>
      <c r="F23" s="20" t="s">
        <v>16</v>
      </c>
      <c r="G23" s="92">
        <v>3</v>
      </c>
      <c r="H23" s="92">
        <v>3</v>
      </c>
      <c r="I23" s="92">
        <v>3</v>
      </c>
      <c r="J23" s="12">
        <v>3</v>
      </c>
      <c r="K23" s="12">
        <v>3</v>
      </c>
      <c r="L23" s="85" t="s">
        <v>85</v>
      </c>
      <c r="M23" s="85" t="s">
        <v>85</v>
      </c>
      <c r="N23" s="12">
        <v>3</v>
      </c>
      <c r="O23" s="92">
        <v>3</v>
      </c>
      <c r="P23" s="92">
        <v>3</v>
      </c>
      <c r="Q23" s="12">
        <v>3</v>
      </c>
      <c r="R23" s="12" t="s">
        <v>85</v>
      </c>
      <c r="S23" s="85" t="s">
        <v>85</v>
      </c>
      <c r="T23" s="85" t="s">
        <v>85</v>
      </c>
      <c r="U23" s="12">
        <v>3</v>
      </c>
      <c r="V23" s="92">
        <v>3</v>
      </c>
      <c r="W23" s="92">
        <v>3</v>
      </c>
      <c r="X23" s="92">
        <v>2</v>
      </c>
      <c r="Y23" s="92">
        <v>2</v>
      </c>
      <c r="Z23" s="85" t="s">
        <v>85</v>
      </c>
      <c r="AA23" s="85" t="s">
        <v>85</v>
      </c>
      <c r="AB23" s="92" t="s">
        <v>85</v>
      </c>
      <c r="AC23" s="92" t="s">
        <v>85</v>
      </c>
      <c r="AD23" s="92" t="s">
        <v>85</v>
      </c>
      <c r="AE23" s="92" t="s">
        <v>85</v>
      </c>
      <c r="AF23" s="92" t="s">
        <v>85</v>
      </c>
      <c r="AG23" s="85" t="s">
        <v>85</v>
      </c>
      <c r="AH23" s="85" t="s">
        <v>85</v>
      </c>
      <c r="AI23" s="92">
        <v>2</v>
      </c>
      <c r="AJ23" s="92">
        <v>3</v>
      </c>
      <c r="AK23" s="12"/>
      <c r="AL23" s="15">
        <f t="shared" si="1"/>
        <v>45</v>
      </c>
      <c r="AM23" s="16"/>
      <c r="AN23" s="16"/>
      <c r="AO23" s="78">
        <f t="shared" si="0"/>
        <v>5</v>
      </c>
      <c r="AP23" s="5"/>
    </row>
    <row r="24" spans="1:42" s="32" customFormat="1" ht="15" customHeight="1" x14ac:dyDescent="0.25">
      <c r="A24" s="18">
        <v>17</v>
      </c>
      <c r="B24" s="19"/>
      <c r="C24" s="53">
        <v>304006</v>
      </c>
      <c r="D24" s="54">
        <v>11026134198</v>
      </c>
      <c r="E24" s="71" t="s">
        <v>57</v>
      </c>
      <c r="F24" s="20" t="s">
        <v>16</v>
      </c>
      <c r="G24" s="92" t="s">
        <v>85</v>
      </c>
      <c r="H24" s="92" t="s">
        <v>85</v>
      </c>
      <c r="I24" s="92" t="s">
        <v>85</v>
      </c>
      <c r="J24" s="12" t="s">
        <v>85</v>
      </c>
      <c r="K24" s="12" t="s">
        <v>85</v>
      </c>
      <c r="L24" s="85" t="s">
        <v>85</v>
      </c>
      <c r="M24" s="85" t="s">
        <v>85</v>
      </c>
      <c r="N24" s="12">
        <v>3</v>
      </c>
      <c r="O24" s="92">
        <v>3</v>
      </c>
      <c r="P24" s="92">
        <v>3</v>
      </c>
      <c r="Q24" s="12">
        <v>3</v>
      </c>
      <c r="R24" s="12">
        <v>3</v>
      </c>
      <c r="S24" s="85" t="s">
        <v>85</v>
      </c>
      <c r="T24" s="85" t="s">
        <v>85</v>
      </c>
      <c r="U24" s="12">
        <v>2</v>
      </c>
      <c r="V24" s="92">
        <v>2</v>
      </c>
      <c r="W24" s="92">
        <v>2</v>
      </c>
      <c r="X24" s="92">
        <v>3</v>
      </c>
      <c r="Y24" s="92">
        <v>3</v>
      </c>
      <c r="Z24" s="85" t="s">
        <v>85</v>
      </c>
      <c r="AA24" s="85" t="s">
        <v>85</v>
      </c>
      <c r="AB24" s="92">
        <v>3</v>
      </c>
      <c r="AC24" s="92">
        <v>3</v>
      </c>
      <c r="AD24" s="92">
        <v>3</v>
      </c>
      <c r="AE24" s="92">
        <v>3</v>
      </c>
      <c r="AF24" s="92">
        <v>3</v>
      </c>
      <c r="AG24" s="85" t="s">
        <v>85</v>
      </c>
      <c r="AH24" s="85" t="s">
        <v>85</v>
      </c>
      <c r="AI24" s="92">
        <v>3</v>
      </c>
      <c r="AJ24" s="92" t="s">
        <v>85</v>
      </c>
      <c r="AK24" s="12"/>
      <c r="AL24" s="15">
        <f t="shared" si="1"/>
        <v>45</v>
      </c>
      <c r="AM24" s="16"/>
      <c r="AN24" s="16"/>
      <c r="AO24" s="78">
        <f t="shared" si="0"/>
        <v>5</v>
      </c>
      <c r="AP24" s="5"/>
    </row>
    <row r="25" spans="1:42" s="32" customFormat="1" x14ac:dyDescent="0.25">
      <c r="A25" s="18">
        <v>18</v>
      </c>
      <c r="B25" s="19"/>
      <c r="C25" s="53">
        <v>303988</v>
      </c>
      <c r="D25" s="54">
        <v>11224059576</v>
      </c>
      <c r="E25" s="21" t="s">
        <v>60</v>
      </c>
      <c r="F25" s="20" t="s">
        <v>16</v>
      </c>
      <c r="G25" s="92">
        <v>3</v>
      </c>
      <c r="H25" s="92">
        <v>3</v>
      </c>
      <c r="I25" s="92">
        <v>2</v>
      </c>
      <c r="J25" s="12">
        <v>2</v>
      </c>
      <c r="K25" s="12" t="s">
        <v>85</v>
      </c>
      <c r="L25" s="85" t="s">
        <v>85</v>
      </c>
      <c r="M25" s="85" t="s">
        <v>85</v>
      </c>
      <c r="N25" s="12">
        <v>3</v>
      </c>
      <c r="O25" s="92">
        <v>3</v>
      </c>
      <c r="P25" s="92">
        <v>3</v>
      </c>
      <c r="Q25" s="12">
        <v>3</v>
      </c>
      <c r="R25" s="12">
        <v>3</v>
      </c>
      <c r="S25" s="85" t="s">
        <v>85</v>
      </c>
      <c r="T25" s="85" t="s">
        <v>85</v>
      </c>
      <c r="U25" s="12">
        <v>2</v>
      </c>
      <c r="V25" s="92" t="s">
        <v>85</v>
      </c>
      <c r="W25" s="92">
        <v>2</v>
      </c>
      <c r="X25" s="92">
        <v>2</v>
      </c>
      <c r="Y25" s="92">
        <v>2</v>
      </c>
      <c r="Z25" s="85" t="s">
        <v>85</v>
      </c>
      <c r="AA25" s="85" t="s">
        <v>85</v>
      </c>
      <c r="AB25" s="92">
        <v>2</v>
      </c>
      <c r="AC25" s="92">
        <v>2</v>
      </c>
      <c r="AD25" s="92">
        <v>2</v>
      </c>
      <c r="AE25" s="92">
        <v>3</v>
      </c>
      <c r="AF25" s="92">
        <v>3</v>
      </c>
      <c r="AG25" s="85" t="s">
        <v>85</v>
      </c>
      <c r="AH25" s="85" t="s">
        <v>85</v>
      </c>
      <c r="AI25" s="92" t="s">
        <v>85</v>
      </c>
      <c r="AJ25" s="92" t="s">
        <v>85</v>
      </c>
      <c r="AK25" s="12"/>
      <c r="AL25" s="15">
        <f t="shared" si="1"/>
        <v>45</v>
      </c>
      <c r="AM25" s="16"/>
      <c r="AN25" s="16"/>
      <c r="AO25" s="78">
        <f t="shared" si="0"/>
        <v>5</v>
      </c>
      <c r="AP25" s="5"/>
    </row>
    <row r="26" spans="1:42" s="32" customFormat="1" x14ac:dyDescent="0.25">
      <c r="A26" s="18">
        <v>19</v>
      </c>
      <c r="B26" s="19"/>
      <c r="C26" s="53">
        <v>221713</v>
      </c>
      <c r="D26" s="54">
        <v>20510328180</v>
      </c>
      <c r="E26" s="21" t="s">
        <v>61</v>
      </c>
      <c r="F26" s="20" t="s">
        <v>16</v>
      </c>
      <c r="G26" s="92">
        <v>3</v>
      </c>
      <c r="H26" s="92">
        <v>2</v>
      </c>
      <c r="I26" s="92">
        <v>2</v>
      </c>
      <c r="J26" s="12">
        <v>2</v>
      </c>
      <c r="K26" s="12">
        <v>2</v>
      </c>
      <c r="L26" s="85" t="s">
        <v>85</v>
      </c>
      <c r="M26" s="85" t="s">
        <v>85</v>
      </c>
      <c r="N26" s="12">
        <v>2</v>
      </c>
      <c r="O26" s="92">
        <v>2</v>
      </c>
      <c r="P26" s="92">
        <v>2</v>
      </c>
      <c r="Q26" s="12">
        <v>2</v>
      </c>
      <c r="R26" s="12">
        <v>2</v>
      </c>
      <c r="S26" s="85" t="s">
        <v>85</v>
      </c>
      <c r="T26" s="85" t="s">
        <v>85</v>
      </c>
      <c r="U26" s="12">
        <v>2</v>
      </c>
      <c r="V26" s="92">
        <v>2</v>
      </c>
      <c r="W26" s="92">
        <v>2</v>
      </c>
      <c r="X26" s="92">
        <v>2</v>
      </c>
      <c r="Y26" s="92">
        <v>2</v>
      </c>
      <c r="Z26" s="85" t="s">
        <v>85</v>
      </c>
      <c r="AA26" s="85" t="s">
        <v>85</v>
      </c>
      <c r="AB26" s="92">
        <v>2</v>
      </c>
      <c r="AC26" s="92">
        <v>2</v>
      </c>
      <c r="AD26" s="92">
        <v>2</v>
      </c>
      <c r="AE26" s="92">
        <v>2</v>
      </c>
      <c r="AF26" s="92">
        <v>2</v>
      </c>
      <c r="AG26" s="85" t="s">
        <v>85</v>
      </c>
      <c r="AH26" s="85" t="s">
        <v>85</v>
      </c>
      <c r="AI26" s="92">
        <v>2</v>
      </c>
      <c r="AJ26" s="92">
        <v>2</v>
      </c>
      <c r="AK26" s="12"/>
      <c r="AL26" s="15">
        <f t="shared" si="1"/>
        <v>45</v>
      </c>
      <c r="AM26" s="16"/>
      <c r="AN26" s="16"/>
      <c r="AO26" s="78">
        <f t="shared" si="0"/>
        <v>5</v>
      </c>
      <c r="AP26" s="5"/>
    </row>
    <row r="27" spans="1:42" s="32" customFormat="1" x14ac:dyDescent="0.25">
      <c r="A27" s="18">
        <v>20</v>
      </c>
      <c r="B27" s="19"/>
      <c r="C27" s="53">
        <v>304692</v>
      </c>
      <c r="D27" s="54">
        <v>40012025004</v>
      </c>
      <c r="E27" s="21" t="s">
        <v>62</v>
      </c>
      <c r="F27" s="20" t="s">
        <v>16</v>
      </c>
      <c r="G27" s="92">
        <v>2</v>
      </c>
      <c r="H27" s="92">
        <v>3</v>
      </c>
      <c r="I27" s="92">
        <v>2</v>
      </c>
      <c r="J27" s="12">
        <v>2</v>
      </c>
      <c r="K27" s="12">
        <v>2</v>
      </c>
      <c r="L27" s="85" t="s">
        <v>85</v>
      </c>
      <c r="M27" s="85" t="s">
        <v>85</v>
      </c>
      <c r="N27" s="12">
        <v>2</v>
      </c>
      <c r="O27" s="92">
        <v>2</v>
      </c>
      <c r="P27" s="92">
        <v>2</v>
      </c>
      <c r="Q27" s="12">
        <v>2</v>
      </c>
      <c r="R27" s="12">
        <v>2</v>
      </c>
      <c r="S27" s="85" t="s">
        <v>85</v>
      </c>
      <c r="T27" s="85" t="s">
        <v>85</v>
      </c>
      <c r="U27" s="12">
        <v>2</v>
      </c>
      <c r="V27" s="92">
        <v>2</v>
      </c>
      <c r="W27" s="92">
        <v>2</v>
      </c>
      <c r="X27" s="92">
        <v>2</v>
      </c>
      <c r="Y27" s="92">
        <v>2</v>
      </c>
      <c r="Z27" s="85" t="s">
        <v>85</v>
      </c>
      <c r="AA27" s="85" t="s">
        <v>85</v>
      </c>
      <c r="AB27" s="92">
        <v>2</v>
      </c>
      <c r="AC27" s="92">
        <v>2</v>
      </c>
      <c r="AD27" s="92">
        <v>2</v>
      </c>
      <c r="AE27" s="92">
        <v>2</v>
      </c>
      <c r="AF27" s="92">
        <v>2</v>
      </c>
      <c r="AG27" s="85" t="s">
        <v>85</v>
      </c>
      <c r="AH27" s="85" t="s">
        <v>85</v>
      </c>
      <c r="AI27" s="92">
        <v>2</v>
      </c>
      <c r="AJ27" s="92">
        <v>2</v>
      </c>
      <c r="AK27" s="12"/>
      <c r="AL27" s="15">
        <f t="shared" si="1"/>
        <v>45</v>
      </c>
      <c r="AM27" s="16"/>
      <c r="AN27" s="16"/>
      <c r="AO27" s="78">
        <f t="shared" si="0"/>
        <v>5</v>
      </c>
      <c r="AP27" s="5"/>
    </row>
    <row r="28" spans="1:42" s="32" customFormat="1" x14ac:dyDescent="0.25">
      <c r="A28" s="18">
        <v>21</v>
      </c>
      <c r="B28" s="19"/>
      <c r="C28" s="74">
        <v>188116</v>
      </c>
      <c r="D28" s="75">
        <v>15823126110</v>
      </c>
      <c r="E28" s="21" t="s">
        <v>63</v>
      </c>
      <c r="F28" s="20" t="s">
        <v>16</v>
      </c>
      <c r="G28" s="92">
        <v>2</v>
      </c>
      <c r="H28" s="92">
        <v>2</v>
      </c>
      <c r="I28" s="92">
        <v>2</v>
      </c>
      <c r="J28" s="12">
        <v>2</v>
      </c>
      <c r="K28" s="12">
        <v>2</v>
      </c>
      <c r="L28" s="85" t="s">
        <v>85</v>
      </c>
      <c r="M28" s="85" t="s">
        <v>85</v>
      </c>
      <c r="N28" s="12">
        <v>2</v>
      </c>
      <c r="O28" s="92">
        <v>2</v>
      </c>
      <c r="P28" s="92">
        <v>2</v>
      </c>
      <c r="Q28" s="12">
        <v>2</v>
      </c>
      <c r="R28" s="12">
        <v>2</v>
      </c>
      <c r="S28" s="85" t="s">
        <v>85</v>
      </c>
      <c r="T28" s="85" t="s">
        <v>85</v>
      </c>
      <c r="U28" s="12">
        <v>2</v>
      </c>
      <c r="V28" s="92">
        <v>2</v>
      </c>
      <c r="W28" s="92">
        <v>2</v>
      </c>
      <c r="X28" s="92">
        <v>2</v>
      </c>
      <c r="Y28" s="92">
        <v>2</v>
      </c>
      <c r="Z28" s="85" t="s">
        <v>85</v>
      </c>
      <c r="AA28" s="85" t="s">
        <v>85</v>
      </c>
      <c r="AB28" s="92">
        <v>2</v>
      </c>
      <c r="AC28" s="92">
        <v>2</v>
      </c>
      <c r="AD28" s="92">
        <v>3</v>
      </c>
      <c r="AE28" s="92">
        <v>2</v>
      </c>
      <c r="AF28" s="92">
        <v>2</v>
      </c>
      <c r="AG28" s="85" t="s">
        <v>85</v>
      </c>
      <c r="AH28" s="85" t="s">
        <v>85</v>
      </c>
      <c r="AI28" s="92">
        <v>2</v>
      </c>
      <c r="AJ28" s="92">
        <v>2</v>
      </c>
      <c r="AK28" s="12"/>
      <c r="AL28" s="15">
        <f t="shared" si="1"/>
        <v>45</v>
      </c>
      <c r="AM28" s="16"/>
      <c r="AN28" s="16"/>
      <c r="AO28" s="78">
        <f t="shared" si="0"/>
        <v>5</v>
      </c>
      <c r="AP28" s="5"/>
    </row>
    <row r="29" spans="1:42" s="32" customFormat="1" x14ac:dyDescent="0.25">
      <c r="A29" s="18">
        <v>22</v>
      </c>
      <c r="B29" s="19"/>
      <c r="C29" s="74">
        <v>304709</v>
      </c>
      <c r="D29" s="75">
        <v>28136517698</v>
      </c>
      <c r="E29" s="21" t="s">
        <v>64</v>
      </c>
      <c r="F29" s="20" t="s">
        <v>16</v>
      </c>
      <c r="G29" s="92">
        <v>3</v>
      </c>
      <c r="H29" s="92">
        <v>3</v>
      </c>
      <c r="I29" s="92">
        <v>3</v>
      </c>
      <c r="J29" s="12">
        <v>3</v>
      </c>
      <c r="K29" s="12">
        <v>3</v>
      </c>
      <c r="L29" s="85" t="s">
        <v>85</v>
      </c>
      <c r="M29" s="85" t="s">
        <v>85</v>
      </c>
      <c r="N29" s="12" t="s">
        <v>85</v>
      </c>
      <c r="O29" s="92" t="s">
        <v>85</v>
      </c>
      <c r="P29" s="92" t="s">
        <v>85</v>
      </c>
      <c r="Q29" s="12" t="s">
        <v>85</v>
      </c>
      <c r="R29" s="12" t="s">
        <v>85</v>
      </c>
      <c r="S29" s="85" t="s">
        <v>85</v>
      </c>
      <c r="T29" s="85" t="s">
        <v>85</v>
      </c>
      <c r="U29" s="12">
        <v>3</v>
      </c>
      <c r="V29" s="92">
        <v>3</v>
      </c>
      <c r="W29" s="92" t="s">
        <v>85</v>
      </c>
      <c r="X29" s="92">
        <v>3</v>
      </c>
      <c r="Y29" s="92">
        <v>3</v>
      </c>
      <c r="Z29" s="85" t="s">
        <v>85</v>
      </c>
      <c r="AA29" s="85" t="s">
        <v>85</v>
      </c>
      <c r="AB29" s="92">
        <v>3</v>
      </c>
      <c r="AC29" s="92">
        <v>3</v>
      </c>
      <c r="AD29" s="92" t="s">
        <v>85</v>
      </c>
      <c r="AE29" s="92">
        <v>3</v>
      </c>
      <c r="AF29" s="92">
        <v>3</v>
      </c>
      <c r="AG29" s="85" t="s">
        <v>85</v>
      </c>
      <c r="AH29" s="85" t="s">
        <v>85</v>
      </c>
      <c r="AI29" s="92">
        <v>3</v>
      </c>
      <c r="AJ29" s="92">
        <v>3</v>
      </c>
      <c r="AK29" s="12"/>
      <c r="AL29" s="15">
        <f t="shared" si="1"/>
        <v>45</v>
      </c>
      <c r="AM29" s="16"/>
      <c r="AN29" s="16"/>
      <c r="AO29" s="78">
        <f t="shared" si="0"/>
        <v>5</v>
      </c>
      <c r="AP29" s="5"/>
    </row>
    <row r="30" spans="1:42" s="32" customFormat="1" x14ac:dyDescent="0.25">
      <c r="A30" s="18">
        <v>23</v>
      </c>
      <c r="B30" s="19"/>
      <c r="C30" s="74">
        <v>181079</v>
      </c>
      <c r="D30" s="75">
        <v>17890869334</v>
      </c>
      <c r="E30" s="21" t="s">
        <v>67</v>
      </c>
      <c r="F30" s="20" t="s">
        <v>16</v>
      </c>
      <c r="G30" s="92">
        <v>2</v>
      </c>
      <c r="H30" s="92">
        <v>2</v>
      </c>
      <c r="I30" s="92">
        <v>3</v>
      </c>
      <c r="J30" s="12">
        <v>2</v>
      </c>
      <c r="K30" s="12">
        <v>2</v>
      </c>
      <c r="L30" s="85" t="s">
        <v>85</v>
      </c>
      <c r="M30" s="85" t="s">
        <v>85</v>
      </c>
      <c r="N30" s="12">
        <v>2</v>
      </c>
      <c r="O30" s="92">
        <v>2</v>
      </c>
      <c r="P30" s="92">
        <v>2</v>
      </c>
      <c r="Q30" s="12">
        <v>2</v>
      </c>
      <c r="R30" s="12">
        <v>2</v>
      </c>
      <c r="S30" s="85" t="s">
        <v>85</v>
      </c>
      <c r="T30" s="85" t="s">
        <v>85</v>
      </c>
      <c r="U30" s="12">
        <v>2</v>
      </c>
      <c r="V30" s="92">
        <v>2</v>
      </c>
      <c r="W30" s="92">
        <v>3</v>
      </c>
      <c r="X30" s="92" t="s">
        <v>85</v>
      </c>
      <c r="Y30" s="92">
        <v>3</v>
      </c>
      <c r="Z30" s="85" t="s">
        <v>85</v>
      </c>
      <c r="AA30" s="85" t="s">
        <v>85</v>
      </c>
      <c r="AB30" s="92">
        <v>2</v>
      </c>
      <c r="AC30" s="92">
        <v>2</v>
      </c>
      <c r="AD30" s="92">
        <v>2</v>
      </c>
      <c r="AE30" s="92">
        <v>2</v>
      </c>
      <c r="AF30" s="92">
        <v>2</v>
      </c>
      <c r="AG30" s="85" t="s">
        <v>85</v>
      </c>
      <c r="AH30" s="85" t="s">
        <v>85</v>
      </c>
      <c r="AI30" s="92">
        <v>2</v>
      </c>
      <c r="AJ30" s="92">
        <v>2</v>
      </c>
      <c r="AK30" s="12"/>
      <c r="AL30" s="15">
        <f t="shared" si="1"/>
        <v>45</v>
      </c>
      <c r="AM30" s="16"/>
      <c r="AN30" s="16"/>
      <c r="AO30" s="78">
        <f t="shared" si="0"/>
        <v>5</v>
      </c>
      <c r="AP30" s="5"/>
    </row>
    <row r="31" spans="1:42" s="32" customFormat="1" x14ac:dyDescent="0.25">
      <c r="A31" s="18">
        <v>24</v>
      </c>
      <c r="B31" s="19"/>
      <c r="C31" s="75">
        <v>287462</v>
      </c>
      <c r="D31" s="75">
        <v>32113696764</v>
      </c>
      <c r="E31" s="21" t="s">
        <v>68</v>
      </c>
      <c r="F31" s="20" t="s">
        <v>16</v>
      </c>
      <c r="G31" s="92">
        <v>2</v>
      </c>
      <c r="H31" s="92">
        <v>2</v>
      </c>
      <c r="I31" s="92">
        <v>3</v>
      </c>
      <c r="J31" s="12">
        <v>2</v>
      </c>
      <c r="K31" s="12">
        <v>2</v>
      </c>
      <c r="L31" s="85" t="s">
        <v>85</v>
      </c>
      <c r="M31" s="85" t="s">
        <v>85</v>
      </c>
      <c r="N31" s="12">
        <v>2</v>
      </c>
      <c r="O31" s="92">
        <v>2</v>
      </c>
      <c r="P31" s="92">
        <v>2</v>
      </c>
      <c r="Q31" s="12">
        <v>2</v>
      </c>
      <c r="R31" s="12">
        <v>2</v>
      </c>
      <c r="S31" s="85" t="s">
        <v>85</v>
      </c>
      <c r="T31" s="85" t="s">
        <v>85</v>
      </c>
      <c r="U31" s="12">
        <v>2</v>
      </c>
      <c r="V31" s="92">
        <v>2</v>
      </c>
      <c r="W31" s="92">
        <v>2</v>
      </c>
      <c r="X31" s="92">
        <v>3</v>
      </c>
      <c r="Y31" s="92">
        <v>2</v>
      </c>
      <c r="Z31" s="85" t="s">
        <v>85</v>
      </c>
      <c r="AA31" s="85" t="s">
        <v>85</v>
      </c>
      <c r="AB31" s="92">
        <v>2</v>
      </c>
      <c r="AC31" s="92">
        <v>3</v>
      </c>
      <c r="AD31" s="92">
        <v>2</v>
      </c>
      <c r="AE31" s="92">
        <v>2</v>
      </c>
      <c r="AF31" s="92">
        <v>2</v>
      </c>
      <c r="AG31" s="85" t="s">
        <v>85</v>
      </c>
      <c r="AH31" s="85" t="s">
        <v>85</v>
      </c>
      <c r="AI31" s="92" t="s">
        <v>85</v>
      </c>
      <c r="AJ31" s="92">
        <v>2</v>
      </c>
      <c r="AK31" s="12"/>
      <c r="AL31" s="15">
        <f t="shared" si="1"/>
        <v>45</v>
      </c>
      <c r="AM31" s="16"/>
      <c r="AN31" s="16"/>
      <c r="AO31" s="78">
        <f t="shared" si="0"/>
        <v>5</v>
      </c>
      <c r="AP31" s="5"/>
    </row>
    <row r="32" spans="1:42" s="32" customFormat="1" x14ac:dyDescent="0.25">
      <c r="A32" s="18">
        <v>25</v>
      </c>
      <c r="B32" s="19"/>
      <c r="C32" s="75">
        <v>47447</v>
      </c>
      <c r="D32" s="54">
        <v>30073198922</v>
      </c>
      <c r="E32" s="21" t="s">
        <v>69</v>
      </c>
      <c r="F32" s="20" t="s">
        <v>16</v>
      </c>
      <c r="G32" s="92">
        <v>3</v>
      </c>
      <c r="H32" s="92">
        <v>3</v>
      </c>
      <c r="I32" s="92">
        <v>3</v>
      </c>
      <c r="J32" s="12">
        <v>3</v>
      </c>
      <c r="K32" s="12">
        <v>3</v>
      </c>
      <c r="L32" s="85" t="s">
        <v>85</v>
      </c>
      <c r="M32" s="85" t="s">
        <v>85</v>
      </c>
      <c r="N32" s="12">
        <v>3</v>
      </c>
      <c r="O32" s="92">
        <v>3</v>
      </c>
      <c r="P32" s="92">
        <v>3</v>
      </c>
      <c r="Q32" s="12">
        <v>3</v>
      </c>
      <c r="R32" s="12">
        <v>3</v>
      </c>
      <c r="S32" s="85" t="s">
        <v>85</v>
      </c>
      <c r="T32" s="85" t="s">
        <v>85</v>
      </c>
      <c r="U32" s="12">
        <v>3</v>
      </c>
      <c r="V32" s="92">
        <v>3</v>
      </c>
      <c r="W32" s="92">
        <v>3</v>
      </c>
      <c r="X32" s="92">
        <v>3</v>
      </c>
      <c r="Y32" s="92">
        <v>3</v>
      </c>
      <c r="Z32" s="85" t="s">
        <v>85</v>
      </c>
      <c r="AA32" s="85" t="s">
        <v>85</v>
      </c>
      <c r="AB32" s="92" t="s">
        <v>85</v>
      </c>
      <c r="AC32" s="92" t="s">
        <v>85</v>
      </c>
      <c r="AD32" s="92" t="s">
        <v>85</v>
      </c>
      <c r="AE32" s="92" t="s">
        <v>85</v>
      </c>
      <c r="AF32" s="92" t="s">
        <v>85</v>
      </c>
      <c r="AG32" s="85" t="s">
        <v>85</v>
      </c>
      <c r="AH32" s="85" t="s">
        <v>85</v>
      </c>
      <c r="AI32" s="92" t="s">
        <v>85</v>
      </c>
      <c r="AJ32" s="92" t="s">
        <v>85</v>
      </c>
      <c r="AK32" s="12"/>
      <c r="AL32" s="15">
        <f t="shared" si="1"/>
        <v>45</v>
      </c>
      <c r="AM32" s="16"/>
      <c r="AN32" s="16"/>
      <c r="AO32" s="78">
        <f t="shared" si="0"/>
        <v>5</v>
      </c>
      <c r="AP32" s="5"/>
    </row>
    <row r="33" spans="1:42" s="32" customFormat="1" x14ac:dyDescent="0.25">
      <c r="A33" s="18">
        <v>26</v>
      </c>
      <c r="B33" s="19"/>
      <c r="C33" s="74">
        <v>47414</v>
      </c>
      <c r="D33" s="76">
        <v>29131003278</v>
      </c>
      <c r="E33" s="21" t="s">
        <v>70</v>
      </c>
      <c r="F33" s="20" t="s">
        <v>16</v>
      </c>
      <c r="G33" s="92">
        <v>2</v>
      </c>
      <c r="H33" s="92">
        <v>3</v>
      </c>
      <c r="I33" s="92">
        <v>2</v>
      </c>
      <c r="J33" s="12">
        <v>2</v>
      </c>
      <c r="K33" s="12">
        <v>2</v>
      </c>
      <c r="L33" s="85" t="s">
        <v>85</v>
      </c>
      <c r="M33" s="85" t="s">
        <v>85</v>
      </c>
      <c r="N33" s="12">
        <v>2</v>
      </c>
      <c r="O33" s="92">
        <v>2</v>
      </c>
      <c r="P33" s="92">
        <v>2</v>
      </c>
      <c r="Q33" s="12">
        <v>2</v>
      </c>
      <c r="R33" s="12">
        <v>2</v>
      </c>
      <c r="S33" s="85" t="s">
        <v>85</v>
      </c>
      <c r="T33" s="85" t="s">
        <v>85</v>
      </c>
      <c r="U33" s="12">
        <v>2</v>
      </c>
      <c r="V33" s="92">
        <v>2</v>
      </c>
      <c r="W33" s="92">
        <v>2</v>
      </c>
      <c r="X33" s="92">
        <v>2</v>
      </c>
      <c r="Y33" s="92">
        <v>2</v>
      </c>
      <c r="Z33" s="85" t="s">
        <v>85</v>
      </c>
      <c r="AA33" s="85" t="s">
        <v>85</v>
      </c>
      <c r="AB33" s="92">
        <v>2</v>
      </c>
      <c r="AC33" s="92">
        <v>2</v>
      </c>
      <c r="AD33" s="92">
        <v>2</v>
      </c>
      <c r="AE33" s="92">
        <v>2</v>
      </c>
      <c r="AF33" s="92">
        <v>2</v>
      </c>
      <c r="AG33" s="85" t="s">
        <v>85</v>
      </c>
      <c r="AH33" s="85" t="s">
        <v>85</v>
      </c>
      <c r="AI33" s="92">
        <v>2</v>
      </c>
      <c r="AJ33" s="92">
        <v>2</v>
      </c>
      <c r="AK33" s="12"/>
      <c r="AL33" s="15">
        <f t="shared" si="1"/>
        <v>45</v>
      </c>
      <c r="AM33" s="16"/>
      <c r="AN33" s="16"/>
      <c r="AO33" s="78">
        <f t="shared" si="0"/>
        <v>5</v>
      </c>
      <c r="AP33" s="5"/>
    </row>
    <row r="34" spans="1:42" s="32" customFormat="1" x14ac:dyDescent="0.25">
      <c r="A34" s="18">
        <v>27</v>
      </c>
      <c r="B34" s="19"/>
      <c r="C34" s="54">
        <v>287487</v>
      </c>
      <c r="D34" s="54">
        <v>38095704534</v>
      </c>
      <c r="E34" s="21" t="s">
        <v>72</v>
      </c>
      <c r="F34" s="20" t="s">
        <v>16</v>
      </c>
      <c r="G34" s="92">
        <v>2</v>
      </c>
      <c r="H34" s="92">
        <v>2</v>
      </c>
      <c r="I34" s="92">
        <v>3</v>
      </c>
      <c r="J34" s="12">
        <v>2</v>
      </c>
      <c r="K34" s="12">
        <v>2</v>
      </c>
      <c r="L34" s="85" t="s">
        <v>85</v>
      </c>
      <c r="M34" s="85" t="s">
        <v>85</v>
      </c>
      <c r="N34" s="12">
        <v>2</v>
      </c>
      <c r="O34" s="92">
        <v>2</v>
      </c>
      <c r="P34" s="92">
        <v>2</v>
      </c>
      <c r="Q34" s="12">
        <v>2</v>
      </c>
      <c r="R34" s="12">
        <v>2</v>
      </c>
      <c r="S34" s="85" t="s">
        <v>85</v>
      </c>
      <c r="T34" s="85" t="s">
        <v>85</v>
      </c>
      <c r="U34" s="12">
        <v>2</v>
      </c>
      <c r="V34" s="92">
        <v>2</v>
      </c>
      <c r="W34" s="92">
        <v>2</v>
      </c>
      <c r="X34" s="92">
        <v>2</v>
      </c>
      <c r="Y34" s="92">
        <v>2</v>
      </c>
      <c r="Z34" s="85" t="s">
        <v>85</v>
      </c>
      <c r="AA34" s="85" t="s">
        <v>85</v>
      </c>
      <c r="AB34" s="92">
        <v>2</v>
      </c>
      <c r="AC34" s="92">
        <v>2</v>
      </c>
      <c r="AD34" s="92">
        <v>2</v>
      </c>
      <c r="AE34" s="92">
        <v>2</v>
      </c>
      <c r="AF34" s="92">
        <v>2</v>
      </c>
      <c r="AG34" s="85" t="s">
        <v>85</v>
      </c>
      <c r="AH34" s="85" t="s">
        <v>85</v>
      </c>
      <c r="AI34" s="92">
        <v>2</v>
      </c>
      <c r="AJ34" s="92">
        <v>2</v>
      </c>
      <c r="AK34" s="12"/>
      <c r="AL34" s="15">
        <f t="shared" si="1"/>
        <v>45</v>
      </c>
      <c r="AM34" s="16"/>
      <c r="AN34" s="16"/>
      <c r="AO34" s="78">
        <f t="shared" si="0"/>
        <v>5</v>
      </c>
      <c r="AP34" s="5"/>
    </row>
    <row r="35" spans="1:42" s="32" customFormat="1" x14ac:dyDescent="0.25">
      <c r="A35" s="18">
        <v>28</v>
      </c>
      <c r="B35" s="19"/>
      <c r="C35" s="54">
        <v>168950</v>
      </c>
      <c r="D35" s="54">
        <v>10672102032</v>
      </c>
      <c r="E35" s="21" t="s">
        <v>71</v>
      </c>
      <c r="F35" s="20" t="s">
        <v>16</v>
      </c>
      <c r="G35" s="92">
        <v>3</v>
      </c>
      <c r="H35" s="92">
        <v>3</v>
      </c>
      <c r="I35" s="92">
        <v>3</v>
      </c>
      <c r="J35" s="12">
        <v>3</v>
      </c>
      <c r="K35" s="12">
        <v>3</v>
      </c>
      <c r="L35" s="85" t="s">
        <v>85</v>
      </c>
      <c r="M35" s="85" t="s">
        <v>85</v>
      </c>
      <c r="N35" s="12" t="s">
        <v>85</v>
      </c>
      <c r="O35" s="92" t="s">
        <v>85</v>
      </c>
      <c r="P35" s="92" t="s">
        <v>85</v>
      </c>
      <c r="Q35" s="12" t="s">
        <v>85</v>
      </c>
      <c r="R35" s="12" t="s">
        <v>85</v>
      </c>
      <c r="S35" s="85" t="s">
        <v>85</v>
      </c>
      <c r="T35" s="85" t="s">
        <v>85</v>
      </c>
      <c r="U35" s="12">
        <v>3</v>
      </c>
      <c r="V35" s="92">
        <v>3</v>
      </c>
      <c r="W35" s="92">
        <v>3</v>
      </c>
      <c r="X35" s="92">
        <v>3</v>
      </c>
      <c r="Y35" s="92" t="s">
        <v>85</v>
      </c>
      <c r="Z35" s="85" t="s">
        <v>85</v>
      </c>
      <c r="AA35" s="85" t="s">
        <v>85</v>
      </c>
      <c r="AB35" s="92">
        <v>3</v>
      </c>
      <c r="AC35" s="92" t="s">
        <v>85</v>
      </c>
      <c r="AD35" s="92">
        <v>3</v>
      </c>
      <c r="AE35" s="92">
        <v>3</v>
      </c>
      <c r="AF35" s="92">
        <v>3</v>
      </c>
      <c r="AG35" s="85" t="s">
        <v>85</v>
      </c>
      <c r="AH35" s="85" t="s">
        <v>85</v>
      </c>
      <c r="AI35" s="92">
        <v>3</v>
      </c>
      <c r="AJ35" s="92">
        <v>3</v>
      </c>
      <c r="AK35" s="12"/>
      <c r="AL35" s="15">
        <f t="shared" si="1"/>
        <v>45</v>
      </c>
      <c r="AM35" s="16"/>
      <c r="AN35" s="16"/>
      <c r="AO35" s="78"/>
      <c r="AP35" s="5"/>
    </row>
    <row r="36" spans="1:42" s="32" customFormat="1" x14ac:dyDescent="0.25">
      <c r="A36" s="18">
        <v>29</v>
      </c>
      <c r="B36" s="19"/>
      <c r="C36" s="54">
        <v>48249</v>
      </c>
      <c r="D36" s="54">
        <v>27752424946</v>
      </c>
      <c r="E36" s="21" t="s">
        <v>58</v>
      </c>
      <c r="F36" s="20" t="s">
        <v>31</v>
      </c>
      <c r="G36" s="92">
        <v>3</v>
      </c>
      <c r="H36" s="92">
        <v>3</v>
      </c>
      <c r="I36" s="92">
        <v>2</v>
      </c>
      <c r="J36" s="12">
        <v>3</v>
      </c>
      <c r="K36" s="12">
        <v>2</v>
      </c>
      <c r="L36" s="85" t="s">
        <v>85</v>
      </c>
      <c r="M36" s="85" t="s">
        <v>85</v>
      </c>
      <c r="N36" s="12">
        <v>2</v>
      </c>
      <c r="O36" s="92">
        <v>2</v>
      </c>
      <c r="P36" s="92">
        <v>2</v>
      </c>
      <c r="Q36" s="12">
        <v>2</v>
      </c>
      <c r="R36" s="12">
        <v>2</v>
      </c>
      <c r="S36" s="85" t="s">
        <v>85</v>
      </c>
      <c r="T36" s="85" t="s">
        <v>85</v>
      </c>
      <c r="U36" s="12">
        <v>2</v>
      </c>
      <c r="V36" s="92">
        <v>2</v>
      </c>
      <c r="W36" s="92">
        <v>2</v>
      </c>
      <c r="X36" s="92">
        <v>2</v>
      </c>
      <c r="Y36" s="92">
        <v>2</v>
      </c>
      <c r="Z36" s="85" t="s">
        <v>85</v>
      </c>
      <c r="AA36" s="85" t="s">
        <v>85</v>
      </c>
      <c r="AB36" s="92">
        <v>2</v>
      </c>
      <c r="AC36" s="92">
        <v>2</v>
      </c>
      <c r="AD36" s="92">
        <v>2</v>
      </c>
      <c r="AE36" s="92">
        <v>2</v>
      </c>
      <c r="AF36" s="92">
        <v>2</v>
      </c>
      <c r="AG36" s="85" t="s">
        <v>85</v>
      </c>
      <c r="AH36" s="85" t="s">
        <v>85</v>
      </c>
      <c r="AI36" s="92">
        <v>2</v>
      </c>
      <c r="AJ36" s="92" t="s">
        <v>85</v>
      </c>
      <c r="AK36" s="12"/>
      <c r="AL36" s="15">
        <f t="shared" si="1"/>
        <v>45</v>
      </c>
      <c r="AM36" s="16"/>
      <c r="AN36" s="16"/>
      <c r="AO36" s="78">
        <f t="shared" si="0"/>
        <v>5</v>
      </c>
      <c r="AP36" s="5"/>
    </row>
    <row r="37" spans="1:42" s="32" customFormat="1" x14ac:dyDescent="0.25">
      <c r="A37" s="18">
        <v>31</v>
      </c>
      <c r="B37" s="19"/>
      <c r="C37" s="54">
        <v>271395</v>
      </c>
      <c r="D37" s="54">
        <v>31919154508</v>
      </c>
      <c r="E37" s="21" t="s">
        <v>65</v>
      </c>
      <c r="F37" s="20" t="s">
        <v>31</v>
      </c>
      <c r="G37" s="92">
        <v>2</v>
      </c>
      <c r="H37" s="92">
        <v>2</v>
      </c>
      <c r="I37" s="92">
        <v>2</v>
      </c>
      <c r="J37" s="12">
        <v>3</v>
      </c>
      <c r="K37" s="12">
        <v>2</v>
      </c>
      <c r="L37" s="85" t="s">
        <v>85</v>
      </c>
      <c r="M37" s="85" t="s">
        <v>85</v>
      </c>
      <c r="N37" s="12">
        <v>2</v>
      </c>
      <c r="O37" s="92">
        <v>2</v>
      </c>
      <c r="P37" s="92">
        <v>2</v>
      </c>
      <c r="Q37" s="12">
        <v>2</v>
      </c>
      <c r="R37" s="12">
        <v>2</v>
      </c>
      <c r="S37" s="85" t="s">
        <v>85</v>
      </c>
      <c r="T37" s="85" t="s">
        <v>85</v>
      </c>
      <c r="U37" s="12">
        <v>2</v>
      </c>
      <c r="V37" s="92">
        <v>2</v>
      </c>
      <c r="W37" s="92">
        <v>2</v>
      </c>
      <c r="X37" s="92">
        <v>2</v>
      </c>
      <c r="Y37" s="92">
        <v>2</v>
      </c>
      <c r="Z37" s="85" t="s">
        <v>85</v>
      </c>
      <c r="AA37" s="85" t="s">
        <v>85</v>
      </c>
      <c r="AB37" s="92">
        <v>2</v>
      </c>
      <c r="AC37" s="92">
        <v>2</v>
      </c>
      <c r="AD37" s="92">
        <v>2</v>
      </c>
      <c r="AE37" s="92">
        <v>2</v>
      </c>
      <c r="AF37" s="92">
        <v>2</v>
      </c>
      <c r="AG37" s="85" t="s">
        <v>85</v>
      </c>
      <c r="AH37" s="85" t="s">
        <v>85</v>
      </c>
      <c r="AI37" s="92">
        <v>2</v>
      </c>
      <c r="AJ37" s="92">
        <v>2</v>
      </c>
      <c r="AK37" s="12"/>
      <c r="AL37" s="15">
        <f t="shared" si="1"/>
        <v>45</v>
      </c>
      <c r="AM37" s="16"/>
      <c r="AN37" s="16"/>
      <c r="AO37" s="78">
        <f t="shared" si="0"/>
        <v>5</v>
      </c>
      <c r="AP37" s="5"/>
    </row>
    <row r="38" spans="1:42" s="32" customFormat="1" x14ac:dyDescent="0.25">
      <c r="A38" s="18">
        <v>32</v>
      </c>
      <c r="B38" s="19"/>
      <c r="C38" s="54">
        <v>48181</v>
      </c>
      <c r="D38" s="54">
        <v>12427088608</v>
      </c>
      <c r="E38" s="54" t="s">
        <v>81</v>
      </c>
      <c r="F38" s="79" t="s">
        <v>16</v>
      </c>
      <c r="G38" s="92">
        <v>3</v>
      </c>
      <c r="H38" s="92">
        <v>3</v>
      </c>
      <c r="I38" s="92">
        <v>3</v>
      </c>
      <c r="J38" s="12">
        <v>3</v>
      </c>
      <c r="K38" s="12">
        <v>3</v>
      </c>
      <c r="L38" s="85" t="s">
        <v>85</v>
      </c>
      <c r="M38" s="85" t="s">
        <v>85</v>
      </c>
      <c r="N38" s="12" t="s">
        <v>85</v>
      </c>
      <c r="O38" s="92" t="s">
        <v>85</v>
      </c>
      <c r="P38" s="92" t="s">
        <v>85</v>
      </c>
      <c r="Q38" s="12" t="s">
        <v>85</v>
      </c>
      <c r="R38" s="12" t="s">
        <v>85</v>
      </c>
      <c r="S38" s="85">
        <v>3</v>
      </c>
      <c r="T38" s="85">
        <v>3</v>
      </c>
      <c r="U38" s="12">
        <v>3</v>
      </c>
      <c r="V38" s="92">
        <v>3</v>
      </c>
      <c r="W38" s="92">
        <v>3</v>
      </c>
      <c r="X38" s="92">
        <v>3</v>
      </c>
      <c r="Y38" s="92">
        <v>2</v>
      </c>
      <c r="Z38" s="85" t="s">
        <v>85</v>
      </c>
      <c r="AA38" s="85" t="s">
        <v>85</v>
      </c>
      <c r="AB38" s="92" t="s">
        <v>85</v>
      </c>
      <c r="AC38" s="92" t="s">
        <v>85</v>
      </c>
      <c r="AD38" s="92" t="s">
        <v>85</v>
      </c>
      <c r="AE38" s="92" t="s">
        <v>85</v>
      </c>
      <c r="AF38" s="92" t="s">
        <v>85</v>
      </c>
      <c r="AG38" s="85">
        <v>3</v>
      </c>
      <c r="AH38" s="85">
        <v>3</v>
      </c>
      <c r="AI38" s="92">
        <v>2</v>
      </c>
      <c r="AJ38" s="92">
        <v>2</v>
      </c>
      <c r="AK38" s="12"/>
      <c r="AL38" s="15">
        <f t="shared" si="1"/>
        <v>45</v>
      </c>
      <c r="AM38" s="16"/>
      <c r="AN38" s="16"/>
      <c r="AO38" s="78"/>
      <c r="AP38" s="5"/>
    </row>
    <row r="39" spans="1:42" s="32" customFormat="1" x14ac:dyDescent="0.25">
      <c r="A39" s="18">
        <v>33</v>
      </c>
      <c r="B39" s="19"/>
      <c r="C39" s="54">
        <v>125837</v>
      </c>
      <c r="D39" s="54">
        <v>23699201800</v>
      </c>
      <c r="E39" s="21" t="s">
        <v>82</v>
      </c>
      <c r="F39" s="79" t="s">
        <v>16</v>
      </c>
      <c r="G39" s="92" t="s">
        <v>85</v>
      </c>
      <c r="H39" s="92" t="s">
        <v>85</v>
      </c>
      <c r="I39" s="92" t="s">
        <v>85</v>
      </c>
      <c r="J39" s="12" t="s">
        <v>85</v>
      </c>
      <c r="K39" s="12" t="s">
        <v>85</v>
      </c>
      <c r="L39" s="85">
        <v>3</v>
      </c>
      <c r="M39" s="85">
        <v>3</v>
      </c>
      <c r="N39" s="12">
        <v>3</v>
      </c>
      <c r="O39" s="92">
        <v>3</v>
      </c>
      <c r="P39" s="92">
        <v>3</v>
      </c>
      <c r="Q39" s="12">
        <v>3</v>
      </c>
      <c r="R39" s="12">
        <v>3</v>
      </c>
      <c r="S39" s="85" t="s">
        <v>85</v>
      </c>
      <c r="T39" s="85" t="s">
        <v>85</v>
      </c>
      <c r="U39" s="12" t="s">
        <v>85</v>
      </c>
      <c r="V39" s="92" t="s">
        <v>85</v>
      </c>
      <c r="W39" s="92" t="s">
        <v>85</v>
      </c>
      <c r="X39" s="92" t="s">
        <v>85</v>
      </c>
      <c r="Y39" s="92" t="s">
        <v>85</v>
      </c>
      <c r="Z39" s="85">
        <v>3</v>
      </c>
      <c r="AA39" s="85">
        <v>3</v>
      </c>
      <c r="AB39" s="92">
        <v>2</v>
      </c>
      <c r="AC39" s="92">
        <v>2</v>
      </c>
      <c r="AD39" s="92">
        <v>3</v>
      </c>
      <c r="AE39" s="92">
        <v>2</v>
      </c>
      <c r="AF39" s="92">
        <v>3</v>
      </c>
      <c r="AG39" s="85" t="s">
        <v>85</v>
      </c>
      <c r="AH39" s="85" t="s">
        <v>85</v>
      </c>
      <c r="AI39" s="92">
        <v>3</v>
      </c>
      <c r="AJ39" s="92">
        <v>3</v>
      </c>
      <c r="AK39" s="12"/>
      <c r="AL39" s="15">
        <f t="shared" si="1"/>
        <v>45</v>
      </c>
      <c r="AM39" s="16"/>
      <c r="AN39" s="16"/>
      <c r="AO39" s="78"/>
      <c r="AP39" s="5"/>
    </row>
    <row r="40" spans="1:42" s="32" customFormat="1" x14ac:dyDescent="0.25">
      <c r="A40" s="18">
        <v>34</v>
      </c>
      <c r="B40" s="19"/>
      <c r="C40" s="75">
        <v>155043</v>
      </c>
      <c r="D40" s="54">
        <v>24637954178</v>
      </c>
      <c r="E40" s="21" t="s">
        <v>83</v>
      </c>
      <c r="F40" s="79" t="s">
        <v>16</v>
      </c>
      <c r="G40" s="92" t="s">
        <v>85</v>
      </c>
      <c r="H40" s="92" t="s">
        <v>85</v>
      </c>
      <c r="I40" s="92" t="s">
        <v>85</v>
      </c>
      <c r="J40" s="12" t="s">
        <v>85</v>
      </c>
      <c r="K40" s="12" t="s">
        <v>85</v>
      </c>
      <c r="L40" s="85">
        <v>3</v>
      </c>
      <c r="M40" s="85">
        <v>3</v>
      </c>
      <c r="N40" s="12">
        <v>3</v>
      </c>
      <c r="O40" s="92">
        <v>3</v>
      </c>
      <c r="P40" s="92">
        <v>3</v>
      </c>
      <c r="Q40" s="12">
        <v>3</v>
      </c>
      <c r="R40" s="12">
        <v>3</v>
      </c>
      <c r="S40" s="85" t="s">
        <v>85</v>
      </c>
      <c r="T40" s="85" t="s">
        <v>85</v>
      </c>
      <c r="U40" s="12" t="s">
        <v>85</v>
      </c>
      <c r="V40" s="92" t="s">
        <v>85</v>
      </c>
      <c r="W40" s="92" t="s">
        <v>85</v>
      </c>
      <c r="X40" s="92" t="s">
        <v>85</v>
      </c>
      <c r="Y40" s="92" t="s">
        <v>85</v>
      </c>
      <c r="Z40" s="85">
        <v>3</v>
      </c>
      <c r="AA40" s="85">
        <v>3</v>
      </c>
      <c r="AB40" s="92">
        <v>2</v>
      </c>
      <c r="AC40" s="92">
        <v>2</v>
      </c>
      <c r="AD40" s="92">
        <v>3</v>
      </c>
      <c r="AE40" s="92">
        <v>2</v>
      </c>
      <c r="AF40" s="92">
        <v>3</v>
      </c>
      <c r="AG40" s="85" t="s">
        <v>85</v>
      </c>
      <c r="AH40" s="85" t="s">
        <v>85</v>
      </c>
      <c r="AI40" s="92">
        <v>3</v>
      </c>
      <c r="AJ40" s="92">
        <v>3</v>
      </c>
      <c r="AK40" s="12"/>
      <c r="AL40" s="15">
        <f t="shared" si="1"/>
        <v>45</v>
      </c>
      <c r="AM40" s="16"/>
      <c r="AN40" s="16"/>
      <c r="AO40" s="78"/>
      <c r="AP40" s="5"/>
    </row>
    <row r="41" spans="1:42" s="32" customFormat="1" x14ac:dyDescent="0.25">
      <c r="A41" s="18">
        <v>35</v>
      </c>
      <c r="B41" s="19"/>
      <c r="C41" s="75">
        <v>116479</v>
      </c>
      <c r="D41" s="54">
        <v>60505022976</v>
      </c>
      <c r="E41" s="21" t="s">
        <v>84</v>
      </c>
      <c r="F41" s="79" t="s">
        <v>16</v>
      </c>
      <c r="G41" s="92">
        <v>3</v>
      </c>
      <c r="H41" s="92">
        <v>3</v>
      </c>
      <c r="I41" s="92">
        <v>3</v>
      </c>
      <c r="J41" s="12">
        <v>3</v>
      </c>
      <c r="K41" s="12">
        <v>3</v>
      </c>
      <c r="L41" s="85" t="s">
        <v>85</v>
      </c>
      <c r="M41" s="85" t="s">
        <v>85</v>
      </c>
      <c r="N41" s="12" t="s">
        <v>85</v>
      </c>
      <c r="O41" s="92" t="s">
        <v>85</v>
      </c>
      <c r="P41" s="92" t="s">
        <v>85</v>
      </c>
      <c r="Q41" s="12" t="s">
        <v>85</v>
      </c>
      <c r="R41" s="12" t="s">
        <v>85</v>
      </c>
      <c r="S41" s="85">
        <v>3</v>
      </c>
      <c r="T41" s="85">
        <v>3</v>
      </c>
      <c r="U41" s="12">
        <v>3</v>
      </c>
      <c r="V41" s="92">
        <v>3</v>
      </c>
      <c r="W41" s="92">
        <v>3</v>
      </c>
      <c r="X41" s="92">
        <v>3</v>
      </c>
      <c r="Y41" s="92">
        <v>2</v>
      </c>
      <c r="Z41" s="85" t="s">
        <v>85</v>
      </c>
      <c r="AA41" s="85" t="s">
        <v>85</v>
      </c>
      <c r="AB41" s="92" t="s">
        <v>85</v>
      </c>
      <c r="AC41" s="92" t="s">
        <v>85</v>
      </c>
      <c r="AD41" s="92" t="s">
        <v>85</v>
      </c>
      <c r="AE41" s="92" t="s">
        <v>85</v>
      </c>
      <c r="AF41" s="92" t="s">
        <v>85</v>
      </c>
      <c r="AG41" s="85">
        <v>3</v>
      </c>
      <c r="AH41" s="85">
        <v>3</v>
      </c>
      <c r="AI41" s="92">
        <v>2</v>
      </c>
      <c r="AJ41" s="92">
        <v>2</v>
      </c>
      <c r="AK41" s="12"/>
      <c r="AL41" s="15">
        <f t="shared" si="1"/>
        <v>45</v>
      </c>
      <c r="AM41" s="16"/>
      <c r="AN41" s="16"/>
      <c r="AO41" s="78"/>
      <c r="AP41" s="5"/>
    </row>
    <row r="42" spans="1:42" s="32" customFormat="1" x14ac:dyDescent="0.25">
      <c r="A42" s="18">
        <v>36</v>
      </c>
      <c r="B42" s="19"/>
      <c r="C42" s="75">
        <v>304750</v>
      </c>
      <c r="D42" s="54">
        <v>39448100010</v>
      </c>
      <c r="E42" s="21" t="s">
        <v>88</v>
      </c>
      <c r="F42" s="79" t="s">
        <v>16</v>
      </c>
      <c r="G42" s="92">
        <v>3</v>
      </c>
      <c r="H42" s="92">
        <v>2</v>
      </c>
      <c r="I42" s="92">
        <v>2</v>
      </c>
      <c r="J42" s="12">
        <v>2</v>
      </c>
      <c r="K42" s="12">
        <v>2</v>
      </c>
      <c r="L42" s="85" t="s">
        <v>85</v>
      </c>
      <c r="M42" s="85" t="s">
        <v>85</v>
      </c>
      <c r="N42" s="12">
        <v>2</v>
      </c>
      <c r="O42" s="92">
        <v>2</v>
      </c>
      <c r="P42" s="92">
        <v>2</v>
      </c>
      <c r="Q42" s="12">
        <v>2</v>
      </c>
      <c r="R42" s="12">
        <v>2</v>
      </c>
      <c r="S42" s="85" t="s">
        <v>85</v>
      </c>
      <c r="T42" s="85" t="s">
        <v>85</v>
      </c>
      <c r="U42" s="12">
        <v>2</v>
      </c>
      <c r="V42" s="92">
        <v>2</v>
      </c>
      <c r="W42" s="92">
        <v>2</v>
      </c>
      <c r="X42" s="12">
        <v>2</v>
      </c>
      <c r="Y42" s="12">
        <v>2</v>
      </c>
      <c r="Z42" s="85" t="s">
        <v>85</v>
      </c>
      <c r="AA42" s="85" t="s">
        <v>85</v>
      </c>
      <c r="AB42" s="12">
        <v>2</v>
      </c>
      <c r="AC42" s="92">
        <v>2</v>
      </c>
      <c r="AD42" s="92">
        <v>2</v>
      </c>
      <c r="AE42" s="12">
        <v>2</v>
      </c>
      <c r="AF42" s="12">
        <v>2</v>
      </c>
      <c r="AG42" s="85" t="s">
        <v>85</v>
      </c>
      <c r="AH42" s="85" t="s">
        <v>85</v>
      </c>
      <c r="AI42" s="92">
        <v>2</v>
      </c>
      <c r="AJ42" s="92">
        <v>2</v>
      </c>
      <c r="AK42" s="12"/>
      <c r="AL42" s="15">
        <f t="shared" si="1"/>
        <v>45</v>
      </c>
      <c r="AM42" s="16"/>
      <c r="AN42" s="16"/>
      <c r="AO42" s="78"/>
      <c r="AP42" s="5"/>
    </row>
    <row r="43" spans="1:42" s="32" customFormat="1" x14ac:dyDescent="0.25">
      <c r="A43" s="18">
        <v>37</v>
      </c>
      <c r="B43" s="19"/>
      <c r="C43" s="75">
        <v>284914</v>
      </c>
      <c r="D43" s="54">
        <v>73768061132</v>
      </c>
      <c r="E43" s="21" t="s">
        <v>92</v>
      </c>
      <c r="F43" s="79" t="s">
        <v>31</v>
      </c>
      <c r="G43" s="92">
        <v>3</v>
      </c>
      <c r="H43" s="92">
        <v>2</v>
      </c>
      <c r="I43" s="92">
        <v>2</v>
      </c>
      <c r="J43" s="12">
        <v>2</v>
      </c>
      <c r="K43" s="12">
        <v>2</v>
      </c>
      <c r="L43" s="85" t="s">
        <v>85</v>
      </c>
      <c r="M43" s="85" t="s">
        <v>85</v>
      </c>
      <c r="N43" s="12">
        <v>2</v>
      </c>
      <c r="O43" s="92">
        <v>2</v>
      </c>
      <c r="P43" s="92">
        <v>2</v>
      </c>
      <c r="Q43" s="12">
        <v>2</v>
      </c>
      <c r="R43" s="12">
        <v>2</v>
      </c>
      <c r="S43" s="85" t="s">
        <v>85</v>
      </c>
      <c r="T43" s="85" t="s">
        <v>85</v>
      </c>
      <c r="U43" s="12">
        <v>2</v>
      </c>
      <c r="V43" s="92">
        <v>2</v>
      </c>
      <c r="W43" s="92">
        <v>2</v>
      </c>
      <c r="X43" s="12">
        <v>2</v>
      </c>
      <c r="Y43" s="12">
        <v>2</v>
      </c>
      <c r="Z43" s="85" t="s">
        <v>85</v>
      </c>
      <c r="AA43" s="85" t="s">
        <v>85</v>
      </c>
      <c r="AB43" s="12">
        <v>2</v>
      </c>
      <c r="AC43" s="92">
        <v>2</v>
      </c>
      <c r="AD43" s="92">
        <v>2</v>
      </c>
      <c r="AE43" s="12">
        <v>2</v>
      </c>
      <c r="AF43" s="12">
        <v>2</v>
      </c>
      <c r="AG43" s="85" t="s">
        <v>85</v>
      </c>
      <c r="AH43" s="85" t="s">
        <v>85</v>
      </c>
      <c r="AI43" s="92">
        <v>2</v>
      </c>
      <c r="AJ43" s="92">
        <v>2</v>
      </c>
      <c r="AK43" s="12"/>
      <c r="AL43" s="15">
        <f t="shared" si="1"/>
        <v>45</v>
      </c>
      <c r="AM43" s="16"/>
      <c r="AN43" s="16"/>
      <c r="AO43" s="78"/>
      <c r="AP43" s="5"/>
    </row>
    <row r="44" spans="1:42" s="32" customFormat="1" x14ac:dyDescent="0.25">
      <c r="A44" s="18">
        <v>38</v>
      </c>
      <c r="B44" s="19"/>
      <c r="C44" s="75">
        <v>210222</v>
      </c>
      <c r="D44" s="54">
        <v>10429440486</v>
      </c>
      <c r="E44" s="21" t="s">
        <v>75</v>
      </c>
      <c r="F44" s="20" t="s">
        <v>29</v>
      </c>
      <c r="G44" s="92">
        <v>3</v>
      </c>
      <c r="H44" s="92">
        <v>3</v>
      </c>
      <c r="I44" s="92">
        <v>3</v>
      </c>
      <c r="J44" s="12">
        <v>3</v>
      </c>
      <c r="K44" s="12">
        <v>3</v>
      </c>
      <c r="L44" s="85" t="s">
        <v>85</v>
      </c>
      <c r="M44" s="85" t="s">
        <v>85</v>
      </c>
      <c r="N44" s="12">
        <v>2</v>
      </c>
      <c r="O44" s="92">
        <v>2</v>
      </c>
      <c r="P44" s="92">
        <v>2</v>
      </c>
      <c r="Q44" s="12" t="s">
        <v>85</v>
      </c>
      <c r="R44" s="12" t="s">
        <v>85</v>
      </c>
      <c r="S44" s="85" t="s">
        <v>85</v>
      </c>
      <c r="T44" s="85" t="s">
        <v>85</v>
      </c>
      <c r="U44" s="12">
        <v>2</v>
      </c>
      <c r="V44" s="92">
        <v>2</v>
      </c>
      <c r="W44" s="92">
        <v>2</v>
      </c>
      <c r="X44" s="12">
        <v>2</v>
      </c>
      <c r="Y44" s="12">
        <v>2</v>
      </c>
      <c r="Z44" s="85" t="s">
        <v>85</v>
      </c>
      <c r="AA44" s="85" t="s">
        <v>85</v>
      </c>
      <c r="AB44" s="12">
        <v>2</v>
      </c>
      <c r="AC44" s="92">
        <v>2</v>
      </c>
      <c r="AD44" s="92">
        <v>2</v>
      </c>
      <c r="AE44" s="12">
        <v>2</v>
      </c>
      <c r="AF44" s="12">
        <v>2</v>
      </c>
      <c r="AG44" s="85" t="s">
        <v>85</v>
      </c>
      <c r="AH44" s="85" t="s">
        <v>85</v>
      </c>
      <c r="AI44" s="92">
        <v>2</v>
      </c>
      <c r="AJ44" s="92">
        <v>2</v>
      </c>
      <c r="AK44" s="12"/>
      <c r="AL44" s="15">
        <f t="shared" si="1"/>
        <v>45</v>
      </c>
      <c r="AM44" s="16"/>
      <c r="AN44" s="16"/>
      <c r="AO44" s="78">
        <f t="shared" si="0"/>
        <v>5</v>
      </c>
      <c r="AP44" s="5"/>
    </row>
    <row r="45" spans="1:42" s="32" customFormat="1" x14ac:dyDescent="0.25">
      <c r="A45" s="18">
        <v>39</v>
      </c>
      <c r="B45" s="19"/>
      <c r="C45" s="75">
        <v>229947</v>
      </c>
      <c r="D45" s="54">
        <v>25460594678</v>
      </c>
      <c r="E45" s="21" t="s">
        <v>76</v>
      </c>
      <c r="F45" s="20" t="s">
        <v>29</v>
      </c>
      <c r="G45" s="92">
        <v>2</v>
      </c>
      <c r="H45" s="92">
        <v>2</v>
      </c>
      <c r="I45" s="92">
        <v>2</v>
      </c>
      <c r="J45" s="12">
        <v>2</v>
      </c>
      <c r="K45" s="12">
        <v>2</v>
      </c>
      <c r="L45" s="85" t="s">
        <v>85</v>
      </c>
      <c r="M45" s="85" t="s">
        <v>85</v>
      </c>
      <c r="N45" s="12">
        <v>3</v>
      </c>
      <c r="O45" s="92">
        <v>2</v>
      </c>
      <c r="P45" s="92">
        <v>2</v>
      </c>
      <c r="Q45" s="12">
        <v>2</v>
      </c>
      <c r="R45" s="12">
        <v>2</v>
      </c>
      <c r="S45" s="85" t="s">
        <v>85</v>
      </c>
      <c r="T45" s="85" t="s">
        <v>85</v>
      </c>
      <c r="U45" s="12">
        <v>2</v>
      </c>
      <c r="V45" s="92">
        <v>2</v>
      </c>
      <c r="W45" s="92">
        <v>2</v>
      </c>
      <c r="X45" s="12">
        <v>2</v>
      </c>
      <c r="Y45" s="12">
        <v>2</v>
      </c>
      <c r="Z45" s="85" t="s">
        <v>85</v>
      </c>
      <c r="AA45" s="85" t="s">
        <v>85</v>
      </c>
      <c r="AB45" s="12">
        <v>2</v>
      </c>
      <c r="AC45" s="92">
        <v>2</v>
      </c>
      <c r="AD45" s="92">
        <v>2</v>
      </c>
      <c r="AE45" s="12">
        <v>2</v>
      </c>
      <c r="AF45" s="12">
        <v>2</v>
      </c>
      <c r="AG45" s="85" t="s">
        <v>85</v>
      </c>
      <c r="AH45" s="85" t="s">
        <v>85</v>
      </c>
      <c r="AI45" s="92">
        <v>2</v>
      </c>
      <c r="AJ45" s="92">
        <v>2</v>
      </c>
      <c r="AK45" s="12"/>
      <c r="AL45" s="15">
        <f t="shared" si="1"/>
        <v>45</v>
      </c>
      <c r="AM45" s="16"/>
      <c r="AN45" s="16"/>
      <c r="AO45" s="78">
        <f t="shared" si="0"/>
        <v>5</v>
      </c>
      <c r="AP45" s="5"/>
    </row>
    <row r="46" spans="1:42" s="32" customFormat="1" x14ac:dyDescent="0.25">
      <c r="A46" s="9"/>
      <c r="B46" s="90"/>
      <c r="C46" s="109" t="s">
        <v>7</v>
      </c>
      <c r="D46" s="109"/>
      <c r="E46" s="109"/>
      <c r="F46" s="66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  <c r="AK46" s="110"/>
      <c r="AL46" s="110"/>
      <c r="AM46" s="110"/>
      <c r="AN46" s="110"/>
    </row>
    <row r="47" spans="1:42" s="32" customFormat="1" x14ac:dyDescent="0.25">
      <c r="A47" s="9"/>
      <c r="B47" s="90"/>
      <c r="C47" s="109" t="s">
        <v>8</v>
      </c>
      <c r="D47" s="109"/>
      <c r="E47" s="109"/>
      <c r="F47" s="66"/>
      <c r="G47" s="110" t="s">
        <v>21</v>
      </c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</row>
    <row r="48" spans="1:42" s="32" customFormat="1" x14ac:dyDescent="0.25">
      <c r="A48" s="55" t="s">
        <v>21</v>
      </c>
      <c r="B48" s="35" t="s">
        <v>21</v>
      </c>
      <c r="C48" s="35" t="s">
        <v>21</v>
      </c>
      <c r="D48" s="35" t="s">
        <v>21</v>
      </c>
      <c r="E48" s="36" t="s">
        <v>21</v>
      </c>
      <c r="F48" s="37"/>
      <c r="G48" s="94"/>
      <c r="H48" s="94"/>
      <c r="I48" s="94"/>
      <c r="J48" s="37"/>
      <c r="K48" s="111" t="s">
        <v>9</v>
      </c>
      <c r="L48" s="111"/>
      <c r="M48" s="111"/>
      <c r="N48" s="111"/>
      <c r="O48" s="111"/>
      <c r="P48" s="111"/>
      <c r="Q48" s="111"/>
      <c r="R48" s="111"/>
      <c r="S48" s="37"/>
      <c r="T48" s="37"/>
      <c r="U48" s="111"/>
      <c r="V48" s="111"/>
      <c r="W48" s="111"/>
      <c r="X48" s="111"/>
      <c r="Y48" s="111"/>
      <c r="Z48" s="111"/>
      <c r="AA48" s="111"/>
      <c r="AB48" s="111"/>
      <c r="AC48" s="87"/>
      <c r="AD48" s="94"/>
      <c r="AE48" s="112" t="s">
        <v>10</v>
      </c>
      <c r="AF48" s="112"/>
      <c r="AG48" s="112"/>
      <c r="AH48" s="112"/>
      <c r="AI48" s="112"/>
      <c r="AJ48" s="112"/>
      <c r="AK48" s="112"/>
      <c r="AL48" s="112"/>
      <c r="AM48" s="112"/>
      <c r="AN48" s="112"/>
    </row>
    <row r="49" spans="1:40" s="32" customFormat="1" x14ac:dyDescent="0.25">
      <c r="A49" s="55" t="s">
        <v>21</v>
      </c>
      <c r="B49" s="35" t="s">
        <v>21</v>
      </c>
      <c r="C49" s="35" t="s">
        <v>21</v>
      </c>
      <c r="D49" s="35" t="s">
        <v>21</v>
      </c>
      <c r="E49" s="38"/>
      <c r="F49" s="39"/>
      <c r="G49" s="113" t="s">
        <v>11</v>
      </c>
      <c r="H49" s="113"/>
      <c r="I49" s="113"/>
      <c r="J49" s="113"/>
      <c r="K49" s="111" t="s">
        <v>96</v>
      </c>
      <c r="L49" s="111"/>
      <c r="M49" s="111"/>
      <c r="N49" s="111"/>
      <c r="O49" s="111"/>
      <c r="P49" s="111"/>
      <c r="Q49" s="111"/>
      <c r="R49" s="111"/>
      <c r="S49" s="37"/>
      <c r="T49" s="37"/>
      <c r="U49" s="111"/>
      <c r="V49" s="111"/>
      <c r="W49" s="111"/>
      <c r="X49" s="111"/>
      <c r="Y49" s="111"/>
      <c r="Z49" s="111"/>
      <c r="AA49" s="111"/>
      <c r="AB49" s="111"/>
      <c r="AC49" s="94"/>
      <c r="AD49" s="94"/>
      <c r="AE49" s="114" t="s">
        <v>39</v>
      </c>
      <c r="AF49" s="114"/>
      <c r="AG49" s="114"/>
      <c r="AH49" s="114"/>
      <c r="AI49" s="114"/>
      <c r="AJ49" s="114"/>
      <c r="AK49" s="114"/>
      <c r="AL49" s="114"/>
      <c r="AM49" s="114"/>
      <c r="AN49" s="114"/>
    </row>
    <row r="50" spans="1:40" s="32" customFormat="1" x14ac:dyDescent="0.25">
      <c r="A50" s="55"/>
      <c r="B50" s="35"/>
      <c r="C50" s="35"/>
      <c r="D50" s="35"/>
      <c r="E50" s="38"/>
      <c r="F50" s="39"/>
      <c r="G50" s="113" t="s">
        <v>12</v>
      </c>
      <c r="H50" s="113"/>
      <c r="I50" s="113"/>
      <c r="J50" s="113"/>
      <c r="K50" s="111" t="s">
        <v>13</v>
      </c>
      <c r="L50" s="111"/>
      <c r="M50" s="111"/>
      <c r="N50" s="111"/>
      <c r="O50" s="111"/>
      <c r="P50" s="111"/>
      <c r="Q50" s="111"/>
      <c r="R50" s="111"/>
      <c r="S50" s="37"/>
      <c r="T50" s="37"/>
      <c r="U50" s="111"/>
      <c r="V50" s="111"/>
      <c r="W50" s="111"/>
      <c r="X50" s="111"/>
      <c r="Y50" s="111"/>
      <c r="Z50" s="111"/>
      <c r="AA50" s="111"/>
      <c r="AB50" s="111"/>
      <c r="AC50" s="98"/>
      <c r="AD50" s="98"/>
      <c r="AE50" s="114" t="s">
        <v>35</v>
      </c>
      <c r="AF50" s="114"/>
      <c r="AG50" s="114"/>
      <c r="AH50" s="114"/>
      <c r="AI50" s="114"/>
      <c r="AJ50" s="114"/>
      <c r="AK50" s="114"/>
      <c r="AL50" s="114"/>
      <c r="AM50" s="114"/>
      <c r="AN50" s="114"/>
    </row>
    <row r="51" spans="1:40" s="32" customFormat="1" x14ac:dyDescent="0.25">
      <c r="A51" s="55"/>
      <c r="B51" s="35"/>
      <c r="C51" s="35"/>
      <c r="D51" s="35"/>
      <c r="E51" s="38"/>
      <c r="F51" s="39"/>
      <c r="G51" s="113" t="s">
        <v>15</v>
      </c>
      <c r="H51" s="113"/>
      <c r="I51" s="113"/>
      <c r="J51" s="113"/>
      <c r="K51" s="30"/>
      <c r="L51" s="30"/>
      <c r="M51" s="30"/>
      <c r="N51" s="30"/>
      <c r="O51" s="96"/>
      <c r="P51" s="96"/>
      <c r="Q51" s="30"/>
      <c r="R51" s="30"/>
      <c r="S51" s="30"/>
      <c r="T51" s="30"/>
      <c r="U51" s="41"/>
      <c r="V51" s="97"/>
      <c r="W51" s="96"/>
      <c r="X51" s="30"/>
      <c r="Y51" s="96"/>
      <c r="Z51" s="30"/>
      <c r="AA51" s="30"/>
      <c r="AB51" s="30"/>
      <c r="AC51" s="96"/>
      <c r="AD51" s="96"/>
      <c r="AE51" s="96"/>
      <c r="AF51" s="97"/>
      <c r="AG51" s="97"/>
      <c r="AH51" s="97"/>
      <c r="AI51" s="97"/>
      <c r="AJ51" s="97"/>
      <c r="AK51" s="41"/>
      <c r="AL51" s="30"/>
      <c r="AM51" s="30"/>
      <c r="AN51" s="42"/>
    </row>
    <row r="52" spans="1:40" s="32" customFormat="1" x14ac:dyDescent="0.25">
      <c r="A52" s="43"/>
      <c r="B52" s="45"/>
      <c r="C52" s="46"/>
      <c r="D52" s="46"/>
      <c r="E52" s="47"/>
      <c r="F52" s="44"/>
      <c r="G52" s="95"/>
      <c r="H52" s="95"/>
      <c r="I52" s="95"/>
      <c r="J52" s="31"/>
      <c r="K52" s="31"/>
      <c r="L52" s="31"/>
      <c r="M52" s="31"/>
      <c r="N52" s="31"/>
      <c r="O52" s="95"/>
      <c r="P52" s="95"/>
      <c r="Q52" s="31"/>
      <c r="R52" s="31"/>
      <c r="S52" s="31"/>
      <c r="T52" s="31"/>
      <c r="U52" s="31"/>
      <c r="V52" s="95"/>
      <c r="W52" s="95"/>
      <c r="X52" s="31"/>
      <c r="Y52" s="95"/>
      <c r="Z52" s="31"/>
      <c r="AA52" s="31"/>
      <c r="AB52" s="31"/>
      <c r="AC52" s="95"/>
      <c r="AD52" s="95"/>
      <c r="AE52" s="95"/>
      <c r="AF52" s="95"/>
      <c r="AG52" s="95"/>
      <c r="AH52" s="95"/>
      <c r="AI52" s="95"/>
      <c r="AJ52" s="95"/>
      <c r="AK52" s="31"/>
      <c r="AL52" s="31"/>
      <c r="AM52" s="31"/>
      <c r="AN52" s="48"/>
    </row>
    <row r="54" spans="1:40" s="32" customFormat="1" x14ac:dyDescent="0.25">
      <c r="A54" s="67"/>
      <c r="B54" s="67"/>
      <c r="C54" s="68"/>
      <c r="D54" s="69"/>
      <c r="E54" s="68"/>
      <c r="F54" s="27"/>
      <c r="G54" s="86"/>
      <c r="H54" s="86"/>
      <c r="I54" s="86"/>
      <c r="J54" s="27"/>
      <c r="K54" s="27"/>
      <c r="O54" s="87"/>
      <c r="P54" s="87"/>
      <c r="V54" s="87"/>
      <c r="W54" s="87"/>
      <c r="Y54" s="87"/>
      <c r="AC54" s="87"/>
      <c r="AD54" s="87"/>
      <c r="AE54" s="87"/>
      <c r="AF54" s="87"/>
      <c r="AG54" s="87"/>
      <c r="AH54" s="87"/>
      <c r="AI54" s="87"/>
      <c r="AJ54" s="87"/>
    </row>
    <row r="1352" spans="1:36" s="32" customFormat="1" x14ac:dyDescent="0.25">
      <c r="A1352" s="67"/>
      <c r="B1352" s="67"/>
      <c r="C1352" s="69"/>
      <c r="D1352" s="69"/>
      <c r="E1352" s="69"/>
      <c r="F1352" s="67"/>
      <c r="G1352" s="87"/>
      <c r="H1352" s="87"/>
      <c r="I1352" s="87"/>
      <c r="O1352" s="87"/>
      <c r="P1352" s="87"/>
      <c r="U1352" s="32" t="s">
        <v>91</v>
      </c>
      <c r="V1352" s="87"/>
      <c r="W1352" s="87"/>
      <c r="Y1352" s="87"/>
      <c r="AC1352" s="87"/>
      <c r="AD1352" s="87"/>
      <c r="AE1352" s="87"/>
      <c r="AF1352" s="87"/>
      <c r="AG1352" s="87"/>
      <c r="AH1352" s="87"/>
      <c r="AI1352" s="87"/>
      <c r="AJ1352" s="87"/>
    </row>
  </sheetData>
  <mergeCells count="24">
    <mergeCell ref="G50:J50"/>
    <mergeCell ref="K50:R50"/>
    <mergeCell ref="U50:AB50"/>
    <mergeCell ref="AE50:AN50"/>
    <mergeCell ref="G51:J51"/>
    <mergeCell ref="K48:R48"/>
    <mergeCell ref="U48:AB48"/>
    <mergeCell ref="AE48:AN48"/>
    <mergeCell ref="G49:J49"/>
    <mergeCell ref="K49:R49"/>
    <mergeCell ref="U49:AB49"/>
    <mergeCell ref="AE49:AN49"/>
    <mergeCell ref="A6:D6"/>
    <mergeCell ref="G6:AK6"/>
    <mergeCell ref="C46:E46"/>
    <mergeCell ref="G46:AN46"/>
    <mergeCell ref="C47:E47"/>
    <mergeCell ref="G47:AN47"/>
    <mergeCell ref="A1:AN2"/>
    <mergeCell ref="A4:B5"/>
    <mergeCell ref="C4:E4"/>
    <mergeCell ref="G4:AK5"/>
    <mergeCell ref="AL4:AN5"/>
    <mergeCell ref="C5:E5"/>
  </mergeCells>
  <printOptions horizontalCentered="1"/>
  <pageMargins left="0" right="0" top="0.31496062992125984" bottom="0.27559055118110237" header="0.51181102362204722" footer="0.51181102362204722"/>
  <pageSetup paperSize="9" scale="70" firstPageNumber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4AEE-9ACA-41AD-9A7E-66C5985BD418}">
  <dimension ref="A1:IS1352"/>
  <sheetViews>
    <sheetView topLeftCell="A4" zoomScale="130" zoomScaleNormal="130" workbookViewId="0">
      <pane xSplit="6" ySplit="4" topLeftCell="G20" activePane="bottomRight" state="frozen"/>
      <selection activeCell="A4" sqref="A4"/>
      <selection pane="topRight" activeCell="H4" sqref="H4"/>
      <selection pane="bottomLeft" activeCell="A9" sqref="A9"/>
      <selection pane="bottomRight" activeCell="AB17" sqref="AB17"/>
    </sheetView>
  </sheetViews>
  <sheetFormatPr defaultRowHeight="15" x14ac:dyDescent="0.25"/>
  <cols>
    <col min="1" max="1" width="7.28515625" style="67" customWidth="1"/>
    <col min="2" max="2" width="3" style="67" hidden="1" customWidth="1"/>
    <col min="3" max="3" width="10.42578125" style="69" customWidth="1"/>
    <col min="4" max="4" width="14.140625" style="69" customWidth="1"/>
    <col min="5" max="5" width="24.7109375" style="69" customWidth="1"/>
    <col min="6" max="6" width="18" style="67" customWidth="1"/>
    <col min="7" max="9" width="3.42578125" style="87" customWidth="1"/>
    <col min="10" max="14" width="3.42578125" style="32" customWidth="1"/>
    <col min="15" max="16" width="3.42578125" style="87" customWidth="1"/>
    <col min="17" max="21" width="3.42578125" style="32" customWidth="1"/>
    <col min="22" max="23" width="3.42578125" style="87" customWidth="1"/>
    <col min="24" max="24" width="3.42578125" style="32" customWidth="1"/>
    <col min="25" max="25" width="3.42578125" style="87" customWidth="1"/>
    <col min="26" max="28" width="3.42578125" style="32" customWidth="1"/>
    <col min="29" max="36" width="3.42578125" style="87" customWidth="1"/>
    <col min="37" max="37" width="3.42578125" style="32" customWidth="1"/>
    <col min="38" max="253" width="8.140625" style="32" customWidth="1"/>
    <col min="254" max="1021" width="8.5703125" style="5" customWidth="1"/>
    <col min="1022" max="16384" width="9.140625" style="5"/>
  </cols>
  <sheetData>
    <row r="1" spans="1:42" s="32" customFormat="1" ht="15.75" customHeight="1" x14ac:dyDescent="0.25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</row>
    <row r="2" spans="1:42" s="32" customFormat="1" x14ac:dyDescent="0.25">
      <c r="A2" s="100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</row>
    <row r="3" spans="1:42" s="32" customFormat="1" x14ac:dyDescent="0.25">
      <c r="A3" s="56"/>
      <c r="B3" s="58"/>
      <c r="C3" s="59"/>
      <c r="D3" s="59"/>
      <c r="E3" s="60"/>
      <c r="F3" s="61"/>
      <c r="G3" s="83"/>
      <c r="H3" s="83"/>
      <c r="I3" s="83"/>
      <c r="J3" s="29"/>
      <c r="K3" s="29"/>
      <c r="L3" s="29"/>
      <c r="M3" s="29"/>
      <c r="N3" s="29"/>
      <c r="O3" s="83"/>
      <c r="P3" s="83"/>
      <c r="Q3" s="29"/>
      <c r="R3" s="29"/>
      <c r="S3" s="29"/>
      <c r="T3" s="29"/>
      <c r="U3" s="29"/>
      <c r="V3" s="83"/>
      <c r="W3" s="83"/>
      <c r="X3" s="29"/>
      <c r="Y3" s="83"/>
      <c r="Z3" s="29"/>
      <c r="AA3" s="29"/>
      <c r="AB3" s="29"/>
      <c r="AC3" s="83"/>
      <c r="AD3" s="83"/>
      <c r="AE3" s="83"/>
      <c r="AF3" s="83"/>
      <c r="AG3" s="83"/>
      <c r="AH3" s="83"/>
      <c r="AI3" s="83"/>
      <c r="AJ3" s="83"/>
      <c r="AK3" s="29"/>
      <c r="AL3" s="29"/>
      <c r="AM3" s="29"/>
      <c r="AN3" s="77"/>
    </row>
    <row r="4" spans="1:42" s="32" customFormat="1" ht="24" customHeight="1" x14ac:dyDescent="0.25">
      <c r="A4" s="101" t="s">
        <v>17</v>
      </c>
      <c r="B4" s="101"/>
      <c r="C4" s="102" t="s">
        <v>0</v>
      </c>
      <c r="D4" s="102"/>
      <c r="E4" s="102"/>
      <c r="F4" s="62"/>
      <c r="G4" s="103" t="s">
        <v>34</v>
      </c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5"/>
      <c r="AM4" s="105"/>
      <c r="AN4" s="105"/>
    </row>
    <row r="5" spans="1:42" s="32" customFormat="1" ht="15.75" customHeight="1" x14ac:dyDescent="0.25">
      <c r="A5" s="101"/>
      <c r="B5" s="101"/>
      <c r="C5" s="106" t="s">
        <v>38</v>
      </c>
      <c r="D5" s="106"/>
      <c r="E5" s="106"/>
      <c r="F5" s="63" t="s">
        <v>21</v>
      </c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5"/>
      <c r="AM5" s="105"/>
      <c r="AN5" s="105"/>
    </row>
    <row r="6" spans="1:42" s="32" customFormat="1" ht="27" customHeight="1" x14ac:dyDescent="0.25">
      <c r="A6" s="107" t="s">
        <v>41</v>
      </c>
      <c r="B6" s="107"/>
      <c r="C6" s="107"/>
      <c r="D6" s="107"/>
      <c r="E6" s="64" t="s">
        <v>93</v>
      </c>
      <c r="F6" s="93">
        <v>2026</v>
      </c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65"/>
      <c r="AM6" s="65"/>
      <c r="AN6" s="65"/>
    </row>
    <row r="7" spans="1:42" s="32" customFormat="1" ht="25.5" x14ac:dyDescent="0.25">
      <c r="A7" s="9" t="s">
        <v>1</v>
      </c>
      <c r="B7" s="23"/>
      <c r="C7" s="49" t="s">
        <v>20</v>
      </c>
      <c r="D7" s="50" t="s">
        <v>37</v>
      </c>
      <c r="E7" s="24" t="s">
        <v>18</v>
      </c>
      <c r="F7" s="22" t="s">
        <v>3</v>
      </c>
      <c r="G7" s="84">
        <v>1</v>
      </c>
      <c r="H7" s="84">
        <v>2</v>
      </c>
      <c r="I7" s="84">
        <v>3</v>
      </c>
      <c r="J7" s="22">
        <v>4</v>
      </c>
      <c r="K7" s="22">
        <v>5</v>
      </c>
      <c r="L7" s="22">
        <v>6</v>
      </c>
      <c r="M7" s="22">
        <v>7</v>
      </c>
      <c r="N7" s="22">
        <v>8</v>
      </c>
      <c r="O7" s="84">
        <v>9</v>
      </c>
      <c r="P7" s="84">
        <v>10</v>
      </c>
      <c r="Q7" s="22">
        <v>11</v>
      </c>
      <c r="R7" s="22">
        <v>12</v>
      </c>
      <c r="S7" s="22">
        <v>13</v>
      </c>
      <c r="T7" s="22">
        <v>14</v>
      </c>
      <c r="U7" s="22">
        <v>15</v>
      </c>
      <c r="V7" s="84">
        <v>16</v>
      </c>
      <c r="W7" s="84">
        <v>17</v>
      </c>
      <c r="X7" s="22">
        <v>18</v>
      </c>
      <c r="Y7" s="84">
        <v>19</v>
      </c>
      <c r="Z7" s="22">
        <v>20</v>
      </c>
      <c r="AA7" s="22">
        <v>21</v>
      </c>
      <c r="AB7" s="22">
        <v>22</v>
      </c>
      <c r="AC7" s="84">
        <v>23</v>
      </c>
      <c r="AD7" s="84">
        <v>24</v>
      </c>
      <c r="AE7" s="84">
        <v>25</v>
      </c>
      <c r="AF7" s="84">
        <v>26</v>
      </c>
      <c r="AG7" s="84">
        <v>27</v>
      </c>
      <c r="AH7" s="84">
        <v>28</v>
      </c>
      <c r="AI7" s="84">
        <v>29</v>
      </c>
      <c r="AJ7" s="84">
        <v>30</v>
      </c>
      <c r="AK7" s="22"/>
      <c r="AL7" s="89" t="s">
        <v>4</v>
      </c>
      <c r="AM7" s="89" t="s">
        <v>5</v>
      </c>
      <c r="AN7" s="89" t="s">
        <v>6</v>
      </c>
    </row>
    <row r="8" spans="1:42" s="32" customFormat="1" x14ac:dyDescent="0.25">
      <c r="A8" s="18">
        <v>1</v>
      </c>
      <c r="B8" s="18"/>
      <c r="C8" s="51">
        <v>95738</v>
      </c>
      <c r="D8" s="52" t="s">
        <v>73</v>
      </c>
      <c r="E8" s="25" t="s">
        <v>74</v>
      </c>
      <c r="F8" s="20" t="s">
        <v>30</v>
      </c>
      <c r="G8" s="85" t="s">
        <v>85</v>
      </c>
      <c r="H8" s="85" t="s">
        <v>85</v>
      </c>
      <c r="I8" s="85" t="s">
        <v>85</v>
      </c>
      <c r="J8" s="12">
        <v>3</v>
      </c>
      <c r="K8" s="12">
        <v>3</v>
      </c>
      <c r="L8" s="12">
        <v>3</v>
      </c>
      <c r="M8" s="12">
        <v>3</v>
      </c>
      <c r="N8" s="12">
        <v>3</v>
      </c>
      <c r="O8" s="85">
        <v>3</v>
      </c>
      <c r="P8" s="85" t="s">
        <v>85</v>
      </c>
      <c r="Q8" s="12">
        <v>3</v>
      </c>
      <c r="R8" s="12">
        <v>3</v>
      </c>
      <c r="S8" s="12">
        <v>3</v>
      </c>
      <c r="T8" s="12">
        <v>3</v>
      </c>
      <c r="U8" s="12">
        <v>3</v>
      </c>
      <c r="V8" s="85" t="s">
        <v>85</v>
      </c>
      <c r="W8" s="85" t="s">
        <v>85</v>
      </c>
      <c r="X8" s="12">
        <v>3</v>
      </c>
      <c r="Y8" s="85" t="s">
        <v>85</v>
      </c>
      <c r="Z8" s="12">
        <v>3</v>
      </c>
      <c r="AA8" s="12">
        <v>3</v>
      </c>
      <c r="AB8" s="12">
        <v>3</v>
      </c>
      <c r="AC8" s="85" t="s">
        <v>85</v>
      </c>
      <c r="AD8" s="85" t="s">
        <v>85</v>
      </c>
      <c r="AE8" s="85" t="s">
        <v>85</v>
      </c>
      <c r="AF8" s="85" t="s">
        <v>85</v>
      </c>
      <c r="AG8" s="85" t="s">
        <v>85</v>
      </c>
      <c r="AH8" s="85" t="s">
        <v>85</v>
      </c>
      <c r="AI8" s="85" t="s">
        <v>85</v>
      </c>
      <c r="AJ8" s="85" t="s">
        <v>85</v>
      </c>
      <c r="AK8" s="12"/>
      <c r="AL8" s="15">
        <f>SUM(G8:AK8)</f>
        <v>45</v>
      </c>
      <c r="AM8" s="89"/>
      <c r="AN8" s="89"/>
      <c r="AO8" s="78">
        <f t="shared" ref="AO8:AO45" si="0">50-AL8</f>
        <v>5</v>
      </c>
    </row>
    <row r="9" spans="1:42" s="32" customFormat="1" x14ac:dyDescent="0.25">
      <c r="A9" s="18">
        <v>2</v>
      </c>
      <c r="B9" s="19"/>
      <c r="C9" s="53">
        <v>292687</v>
      </c>
      <c r="D9" s="54">
        <v>17780206102</v>
      </c>
      <c r="E9" s="21" t="s">
        <v>42</v>
      </c>
      <c r="F9" s="20" t="s">
        <v>16</v>
      </c>
      <c r="G9" s="85" t="s">
        <v>85</v>
      </c>
      <c r="H9" s="85" t="s">
        <v>85</v>
      </c>
      <c r="I9" s="85" t="s">
        <v>85</v>
      </c>
      <c r="J9" s="12">
        <v>2</v>
      </c>
      <c r="K9" s="12">
        <v>2</v>
      </c>
      <c r="L9" s="12">
        <v>2</v>
      </c>
      <c r="M9" s="12">
        <v>2</v>
      </c>
      <c r="N9" s="12">
        <v>2</v>
      </c>
      <c r="O9" s="85">
        <v>5</v>
      </c>
      <c r="P9" s="85">
        <v>5</v>
      </c>
      <c r="Q9" s="12">
        <v>3</v>
      </c>
      <c r="R9" s="12">
        <v>2</v>
      </c>
      <c r="S9" s="12">
        <v>2</v>
      </c>
      <c r="T9" s="12">
        <v>2</v>
      </c>
      <c r="U9" s="12">
        <v>3</v>
      </c>
      <c r="V9" s="85" t="s">
        <v>85</v>
      </c>
      <c r="W9" s="85">
        <v>5</v>
      </c>
      <c r="X9" s="12">
        <v>2</v>
      </c>
      <c r="Y9" s="85" t="s">
        <v>85</v>
      </c>
      <c r="Z9" s="12">
        <v>3</v>
      </c>
      <c r="AA9" s="12">
        <v>3</v>
      </c>
      <c r="AB9" s="12" t="s">
        <v>85</v>
      </c>
      <c r="AC9" s="85" t="s">
        <v>85</v>
      </c>
      <c r="AD9" s="85" t="s">
        <v>85</v>
      </c>
      <c r="AE9" s="85" t="s">
        <v>85</v>
      </c>
      <c r="AF9" s="85" t="s">
        <v>85</v>
      </c>
      <c r="AG9" s="85" t="s">
        <v>85</v>
      </c>
      <c r="AH9" s="85" t="s">
        <v>85</v>
      </c>
      <c r="AI9" s="85" t="s">
        <v>85</v>
      </c>
      <c r="AJ9" s="85" t="s">
        <v>85</v>
      </c>
      <c r="AK9" s="12"/>
      <c r="AL9" s="15">
        <f t="shared" ref="AL9:AL45" si="1">SUM(G9:AK9)</f>
        <v>45</v>
      </c>
      <c r="AM9" s="16"/>
      <c r="AN9" s="16"/>
      <c r="AO9" s="78">
        <f t="shared" si="0"/>
        <v>5</v>
      </c>
      <c r="AP9" s="5"/>
    </row>
    <row r="10" spans="1:42" s="32" customFormat="1" x14ac:dyDescent="0.25">
      <c r="A10" s="18">
        <v>3</v>
      </c>
      <c r="B10" s="19"/>
      <c r="C10" s="53">
        <v>304066</v>
      </c>
      <c r="D10" s="28">
        <v>13435205384</v>
      </c>
      <c r="E10" s="21" t="s">
        <v>43</v>
      </c>
      <c r="F10" s="20" t="s">
        <v>16</v>
      </c>
      <c r="G10" s="85" t="s">
        <v>85</v>
      </c>
      <c r="H10" s="85" t="s">
        <v>85</v>
      </c>
      <c r="I10" s="85">
        <v>5</v>
      </c>
      <c r="J10" s="12">
        <v>2</v>
      </c>
      <c r="K10" s="12">
        <v>3</v>
      </c>
      <c r="L10" s="12">
        <v>3</v>
      </c>
      <c r="M10" s="12">
        <v>3</v>
      </c>
      <c r="N10" s="12">
        <v>3</v>
      </c>
      <c r="O10" s="85">
        <v>5</v>
      </c>
      <c r="P10" s="85" t="s">
        <v>85</v>
      </c>
      <c r="Q10" s="12">
        <v>3</v>
      </c>
      <c r="R10" s="12">
        <v>3</v>
      </c>
      <c r="S10" s="12">
        <v>3</v>
      </c>
      <c r="T10" s="12">
        <v>3</v>
      </c>
      <c r="U10" s="12">
        <v>3</v>
      </c>
      <c r="V10" s="85" t="s">
        <v>85</v>
      </c>
      <c r="W10" s="85" t="s">
        <v>85</v>
      </c>
      <c r="X10" s="12" t="s">
        <v>85</v>
      </c>
      <c r="Y10" s="85" t="s">
        <v>85</v>
      </c>
      <c r="Z10" s="12" t="s">
        <v>85</v>
      </c>
      <c r="AA10" s="12">
        <v>3</v>
      </c>
      <c r="AB10" s="12">
        <v>3</v>
      </c>
      <c r="AC10" s="85" t="s">
        <v>85</v>
      </c>
      <c r="AD10" s="85" t="s">
        <v>85</v>
      </c>
      <c r="AE10" s="85" t="s">
        <v>85</v>
      </c>
      <c r="AF10" s="85" t="s">
        <v>85</v>
      </c>
      <c r="AG10" s="85" t="s">
        <v>85</v>
      </c>
      <c r="AH10" s="85" t="s">
        <v>85</v>
      </c>
      <c r="AI10" s="85" t="s">
        <v>85</v>
      </c>
      <c r="AJ10" s="85" t="s">
        <v>85</v>
      </c>
      <c r="AK10" s="12"/>
      <c r="AL10" s="15">
        <f t="shared" si="1"/>
        <v>45</v>
      </c>
      <c r="AM10" s="16"/>
      <c r="AN10" s="16"/>
      <c r="AO10" s="78">
        <f t="shared" si="0"/>
        <v>5</v>
      </c>
      <c r="AP10" s="5"/>
    </row>
    <row r="11" spans="1:42" s="32" customFormat="1" x14ac:dyDescent="0.25">
      <c r="A11" s="18">
        <v>4</v>
      </c>
      <c r="B11" s="19"/>
      <c r="C11" s="53">
        <v>287485</v>
      </c>
      <c r="D11" s="54">
        <v>36779025470</v>
      </c>
      <c r="E11" s="21" t="s">
        <v>44</v>
      </c>
      <c r="F11" s="20" t="s">
        <v>16</v>
      </c>
      <c r="G11" s="85" t="s">
        <v>85</v>
      </c>
      <c r="H11" s="85">
        <v>5</v>
      </c>
      <c r="I11" s="85">
        <v>5</v>
      </c>
      <c r="J11" s="12">
        <v>3</v>
      </c>
      <c r="K11" s="12">
        <v>3</v>
      </c>
      <c r="L11" s="12">
        <v>3</v>
      </c>
      <c r="M11" s="12">
        <v>3</v>
      </c>
      <c r="N11" s="12">
        <v>3</v>
      </c>
      <c r="O11" s="85">
        <v>5</v>
      </c>
      <c r="P11" s="85" t="s">
        <v>85</v>
      </c>
      <c r="Q11" s="12">
        <v>3</v>
      </c>
      <c r="R11" s="12">
        <v>3</v>
      </c>
      <c r="S11" s="12">
        <v>3</v>
      </c>
      <c r="T11" s="12">
        <v>3</v>
      </c>
      <c r="U11" s="12">
        <v>3</v>
      </c>
      <c r="V11" s="85" t="s">
        <v>85</v>
      </c>
      <c r="W11" s="85" t="s">
        <v>85</v>
      </c>
      <c r="X11" s="12" t="s">
        <v>85</v>
      </c>
      <c r="Y11" s="85" t="s">
        <v>85</v>
      </c>
      <c r="Z11" s="12" t="s">
        <v>85</v>
      </c>
      <c r="AA11" s="12" t="s">
        <v>85</v>
      </c>
      <c r="AB11" s="12" t="s">
        <v>85</v>
      </c>
      <c r="AC11" s="85" t="s">
        <v>85</v>
      </c>
      <c r="AD11" s="85" t="s">
        <v>85</v>
      </c>
      <c r="AE11" s="85" t="s">
        <v>85</v>
      </c>
      <c r="AF11" s="85" t="s">
        <v>85</v>
      </c>
      <c r="AG11" s="85" t="s">
        <v>85</v>
      </c>
      <c r="AH11" s="85" t="s">
        <v>85</v>
      </c>
      <c r="AI11" s="85" t="s">
        <v>85</v>
      </c>
      <c r="AJ11" s="85" t="s">
        <v>85</v>
      </c>
      <c r="AK11" s="12"/>
      <c r="AL11" s="15">
        <f t="shared" si="1"/>
        <v>45</v>
      </c>
      <c r="AM11" s="16"/>
      <c r="AN11" s="16"/>
      <c r="AO11" s="78">
        <f t="shared" si="0"/>
        <v>5</v>
      </c>
      <c r="AP11" s="5"/>
    </row>
    <row r="12" spans="1:42" s="32" customFormat="1" x14ac:dyDescent="0.25">
      <c r="A12" s="18">
        <v>5</v>
      </c>
      <c r="B12" s="19"/>
      <c r="C12" s="53">
        <v>287520</v>
      </c>
      <c r="D12" s="54">
        <v>47089654014</v>
      </c>
      <c r="E12" s="21" t="s">
        <v>45</v>
      </c>
      <c r="F12" s="20" t="s">
        <v>16</v>
      </c>
      <c r="G12" s="85" t="s">
        <v>85</v>
      </c>
      <c r="H12" s="85" t="s">
        <v>85</v>
      </c>
      <c r="I12" s="85" t="s">
        <v>85</v>
      </c>
      <c r="J12" s="12">
        <v>2</v>
      </c>
      <c r="K12" s="12">
        <v>2</v>
      </c>
      <c r="L12" s="12">
        <v>2</v>
      </c>
      <c r="M12" s="12">
        <v>2</v>
      </c>
      <c r="N12" s="12">
        <v>2</v>
      </c>
      <c r="O12" s="85" t="s">
        <v>85</v>
      </c>
      <c r="P12" s="85">
        <v>5</v>
      </c>
      <c r="Q12" s="12">
        <v>3</v>
      </c>
      <c r="R12" s="12">
        <v>2</v>
      </c>
      <c r="S12" s="12">
        <v>3</v>
      </c>
      <c r="T12" s="12">
        <v>3</v>
      </c>
      <c r="U12" s="12">
        <v>2</v>
      </c>
      <c r="V12" s="85">
        <v>5</v>
      </c>
      <c r="W12" s="85" t="s">
        <v>85</v>
      </c>
      <c r="X12" s="12">
        <v>3</v>
      </c>
      <c r="Y12" s="85" t="s">
        <v>85</v>
      </c>
      <c r="Z12" s="12">
        <v>3</v>
      </c>
      <c r="AA12" s="12">
        <v>3</v>
      </c>
      <c r="AB12" s="12">
        <v>3</v>
      </c>
      <c r="AC12" s="85" t="s">
        <v>85</v>
      </c>
      <c r="AD12" s="85" t="s">
        <v>85</v>
      </c>
      <c r="AE12" s="85" t="s">
        <v>85</v>
      </c>
      <c r="AF12" s="85" t="s">
        <v>85</v>
      </c>
      <c r="AG12" s="85" t="s">
        <v>85</v>
      </c>
      <c r="AH12" s="85" t="s">
        <v>85</v>
      </c>
      <c r="AI12" s="85" t="s">
        <v>85</v>
      </c>
      <c r="AJ12" s="85" t="s">
        <v>85</v>
      </c>
      <c r="AK12" s="12"/>
      <c r="AL12" s="15">
        <f t="shared" si="1"/>
        <v>45</v>
      </c>
      <c r="AM12" s="16"/>
      <c r="AN12" s="16"/>
      <c r="AO12" s="78">
        <f t="shared" si="0"/>
        <v>5</v>
      </c>
      <c r="AP12" s="5"/>
    </row>
    <row r="13" spans="1:42" s="32" customFormat="1" x14ac:dyDescent="0.25">
      <c r="A13" s="18">
        <v>6</v>
      </c>
      <c r="B13" s="19"/>
      <c r="C13" s="53">
        <v>287385</v>
      </c>
      <c r="D13" s="54">
        <v>16145792892</v>
      </c>
      <c r="E13" s="21" t="s">
        <v>46</v>
      </c>
      <c r="F13" s="20" t="s">
        <v>16</v>
      </c>
      <c r="G13" s="85" t="s">
        <v>85</v>
      </c>
      <c r="H13" s="85" t="s">
        <v>85</v>
      </c>
      <c r="I13" s="85" t="s">
        <v>85</v>
      </c>
      <c r="J13" s="12">
        <v>3</v>
      </c>
      <c r="K13" s="12">
        <v>3</v>
      </c>
      <c r="L13" s="12">
        <v>3</v>
      </c>
      <c r="M13" s="12">
        <v>3</v>
      </c>
      <c r="N13" s="12">
        <v>3</v>
      </c>
      <c r="O13" s="85" t="s">
        <v>85</v>
      </c>
      <c r="P13" s="85">
        <v>5</v>
      </c>
      <c r="Q13" s="12">
        <v>3</v>
      </c>
      <c r="R13" s="12">
        <v>2</v>
      </c>
      <c r="S13" s="12">
        <v>3</v>
      </c>
      <c r="T13" s="12">
        <v>2</v>
      </c>
      <c r="U13" s="12">
        <v>3</v>
      </c>
      <c r="V13" s="85" t="s">
        <v>85</v>
      </c>
      <c r="W13" s="85" t="s">
        <v>85</v>
      </c>
      <c r="X13" s="12">
        <v>3</v>
      </c>
      <c r="Y13" s="85" t="s">
        <v>85</v>
      </c>
      <c r="Z13" s="12">
        <v>3</v>
      </c>
      <c r="AA13" s="12">
        <v>3</v>
      </c>
      <c r="AB13" s="12">
        <v>3</v>
      </c>
      <c r="AC13" s="85" t="s">
        <v>85</v>
      </c>
      <c r="AD13" s="85" t="s">
        <v>85</v>
      </c>
      <c r="AE13" s="85" t="s">
        <v>85</v>
      </c>
      <c r="AF13" s="85" t="s">
        <v>85</v>
      </c>
      <c r="AG13" s="85" t="s">
        <v>85</v>
      </c>
      <c r="AH13" s="85" t="s">
        <v>85</v>
      </c>
      <c r="AI13" s="85" t="s">
        <v>85</v>
      </c>
      <c r="AJ13" s="85" t="s">
        <v>85</v>
      </c>
      <c r="AK13" s="12"/>
      <c r="AL13" s="15">
        <f t="shared" si="1"/>
        <v>45</v>
      </c>
      <c r="AM13" s="16"/>
      <c r="AN13" s="16"/>
      <c r="AO13" s="78">
        <f t="shared" si="0"/>
        <v>5</v>
      </c>
      <c r="AP13" s="5"/>
    </row>
    <row r="14" spans="1:42" s="32" customFormat="1" x14ac:dyDescent="0.25">
      <c r="A14" s="18">
        <v>7</v>
      </c>
      <c r="B14" s="19"/>
      <c r="C14" s="54">
        <v>147687</v>
      </c>
      <c r="D14" s="54">
        <v>20654513534</v>
      </c>
      <c r="E14" s="21" t="s">
        <v>87</v>
      </c>
      <c r="F14" s="20" t="s">
        <v>16</v>
      </c>
      <c r="G14" s="85" t="s">
        <v>85</v>
      </c>
      <c r="H14" s="85" t="s">
        <v>85</v>
      </c>
      <c r="I14" s="85" t="s">
        <v>85</v>
      </c>
      <c r="J14" s="12">
        <v>3</v>
      </c>
      <c r="K14" s="12">
        <v>3</v>
      </c>
      <c r="L14" s="12">
        <v>2</v>
      </c>
      <c r="M14" s="12">
        <v>3</v>
      </c>
      <c r="N14" s="12">
        <v>3</v>
      </c>
      <c r="O14" s="85" t="s">
        <v>85</v>
      </c>
      <c r="P14" s="85" t="s">
        <v>85</v>
      </c>
      <c r="Q14" s="12">
        <v>2</v>
      </c>
      <c r="R14" s="12">
        <v>3</v>
      </c>
      <c r="S14" s="12">
        <v>3</v>
      </c>
      <c r="T14" s="12">
        <v>3</v>
      </c>
      <c r="U14" s="12">
        <v>3</v>
      </c>
      <c r="V14" s="85">
        <v>5</v>
      </c>
      <c r="W14" s="85" t="s">
        <v>85</v>
      </c>
      <c r="X14" s="12">
        <v>3</v>
      </c>
      <c r="Y14" s="85" t="s">
        <v>85</v>
      </c>
      <c r="Z14" s="12">
        <v>3</v>
      </c>
      <c r="AA14" s="12">
        <v>3</v>
      </c>
      <c r="AB14" s="12">
        <v>3</v>
      </c>
      <c r="AC14" s="85" t="s">
        <v>85</v>
      </c>
      <c r="AD14" s="85" t="s">
        <v>85</v>
      </c>
      <c r="AE14" s="85" t="s">
        <v>85</v>
      </c>
      <c r="AF14" s="85" t="s">
        <v>85</v>
      </c>
      <c r="AG14" s="85" t="s">
        <v>85</v>
      </c>
      <c r="AH14" s="85" t="s">
        <v>85</v>
      </c>
      <c r="AI14" s="85" t="s">
        <v>85</v>
      </c>
      <c r="AJ14" s="85" t="s">
        <v>85</v>
      </c>
      <c r="AK14" s="12"/>
      <c r="AL14" s="15">
        <f t="shared" si="1"/>
        <v>45</v>
      </c>
      <c r="AM14" s="16"/>
      <c r="AN14" s="16"/>
      <c r="AO14" s="78">
        <f t="shared" si="0"/>
        <v>5</v>
      </c>
      <c r="AP14" s="5"/>
    </row>
    <row r="15" spans="1:42" s="32" customFormat="1" x14ac:dyDescent="0.25">
      <c r="A15" s="18">
        <v>8</v>
      </c>
      <c r="B15" s="19"/>
      <c r="C15" s="53">
        <v>304615</v>
      </c>
      <c r="D15" s="54">
        <v>17788074710</v>
      </c>
      <c r="E15" s="21" t="s">
        <v>48</v>
      </c>
      <c r="F15" s="20" t="s">
        <v>16</v>
      </c>
      <c r="G15" s="85" t="s">
        <v>85</v>
      </c>
      <c r="H15" s="85" t="s">
        <v>85</v>
      </c>
      <c r="I15" s="85" t="s">
        <v>85</v>
      </c>
      <c r="J15" s="12" t="s">
        <v>85</v>
      </c>
      <c r="K15" s="12" t="s">
        <v>85</v>
      </c>
      <c r="L15" s="12" t="s">
        <v>85</v>
      </c>
      <c r="M15" s="12" t="s">
        <v>85</v>
      </c>
      <c r="N15" s="12">
        <v>3</v>
      </c>
      <c r="O15" s="85" t="s">
        <v>85</v>
      </c>
      <c r="P15" s="85">
        <v>5</v>
      </c>
      <c r="Q15" s="12">
        <v>3</v>
      </c>
      <c r="R15" s="12">
        <v>3</v>
      </c>
      <c r="S15" s="12">
        <v>3</v>
      </c>
      <c r="T15" s="12">
        <v>3</v>
      </c>
      <c r="U15" s="12">
        <v>3</v>
      </c>
      <c r="V15" s="85">
        <v>5</v>
      </c>
      <c r="W15" s="85">
        <v>5</v>
      </c>
      <c r="X15" s="12">
        <v>3</v>
      </c>
      <c r="Y15" s="85" t="s">
        <v>85</v>
      </c>
      <c r="Z15" s="12">
        <v>3</v>
      </c>
      <c r="AA15" s="12">
        <v>3</v>
      </c>
      <c r="AB15" s="12">
        <v>3</v>
      </c>
      <c r="AC15" s="85" t="s">
        <v>85</v>
      </c>
      <c r="AD15" s="85" t="s">
        <v>85</v>
      </c>
      <c r="AE15" s="85" t="s">
        <v>85</v>
      </c>
      <c r="AF15" s="85" t="s">
        <v>85</v>
      </c>
      <c r="AG15" s="85" t="s">
        <v>85</v>
      </c>
      <c r="AH15" s="85" t="s">
        <v>85</v>
      </c>
      <c r="AI15" s="85" t="s">
        <v>85</v>
      </c>
      <c r="AJ15" s="85" t="s">
        <v>85</v>
      </c>
      <c r="AK15" s="12"/>
      <c r="AL15" s="15">
        <f t="shared" si="1"/>
        <v>45</v>
      </c>
      <c r="AM15" s="16"/>
      <c r="AN15" s="16"/>
      <c r="AO15" s="78">
        <f t="shared" si="0"/>
        <v>5</v>
      </c>
      <c r="AP15" s="5"/>
    </row>
    <row r="16" spans="1:42" s="32" customFormat="1" x14ac:dyDescent="0.25">
      <c r="A16" s="18">
        <v>9</v>
      </c>
      <c r="B16" s="19"/>
      <c r="C16" s="53">
        <v>287441</v>
      </c>
      <c r="D16" s="54">
        <v>26831423368</v>
      </c>
      <c r="E16" s="21" t="s">
        <v>49</v>
      </c>
      <c r="F16" s="20" t="s">
        <v>16</v>
      </c>
      <c r="G16" s="85" t="s">
        <v>85</v>
      </c>
      <c r="H16" s="85" t="s">
        <v>85</v>
      </c>
      <c r="I16" s="85" t="s">
        <v>85</v>
      </c>
      <c r="J16" s="12">
        <v>3</v>
      </c>
      <c r="K16" s="12">
        <v>3</v>
      </c>
      <c r="L16" s="12">
        <v>3</v>
      </c>
      <c r="M16" s="12">
        <v>3</v>
      </c>
      <c r="N16" s="12">
        <v>3</v>
      </c>
      <c r="O16" s="85" t="s">
        <v>85</v>
      </c>
      <c r="P16" s="85">
        <v>5</v>
      </c>
      <c r="Q16" s="12">
        <v>3</v>
      </c>
      <c r="R16" s="12">
        <v>2</v>
      </c>
      <c r="S16" s="12">
        <v>3</v>
      </c>
      <c r="T16" s="12">
        <v>2</v>
      </c>
      <c r="U16" s="12">
        <v>3</v>
      </c>
      <c r="V16" s="85" t="s">
        <v>85</v>
      </c>
      <c r="W16" s="85" t="s">
        <v>85</v>
      </c>
      <c r="X16" s="12">
        <v>3</v>
      </c>
      <c r="Y16" s="85" t="s">
        <v>85</v>
      </c>
      <c r="Z16" s="12">
        <v>3</v>
      </c>
      <c r="AA16" s="12">
        <v>3</v>
      </c>
      <c r="AB16" s="12">
        <v>3</v>
      </c>
      <c r="AC16" s="85" t="s">
        <v>85</v>
      </c>
      <c r="AD16" s="85" t="s">
        <v>85</v>
      </c>
      <c r="AE16" s="85" t="s">
        <v>85</v>
      </c>
      <c r="AF16" s="85" t="s">
        <v>85</v>
      </c>
      <c r="AG16" s="85" t="s">
        <v>85</v>
      </c>
      <c r="AH16" s="85" t="s">
        <v>85</v>
      </c>
      <c r="AI16" s="85" t="s">
        <v>85</v>
      </c>
      <c r="AJ16" s="85" t="s">
        <v>85</v>
      </c>
      <c r="AK16" s="12"/>
      <c r="AL16" s="15">
        <f t="shared" si="1"/>
        <v>45</v>
      </c>
      <c r="AM16" s="16"/>
      <c r="AN16" s="16"/>
      <c r="AO16" s="78">
        <f t="shared" si="0"/>
        <v>5</v>
      </c>
      <c r="AP16" s="5"/>
    </row>
    <row r="17" spans="1:42" s="32" customFormat="1" x14ac:dyDescent="0.25">
      <c r="A17" s="18">
        <v>10</v>
      </c>
      <c r="B17" s="19"/>
      <c r="C17" s="53">
        <v>304647</v>
      </c>
      <c r="D17" s="54">
        <v>46657910828</v>
      </c>
      <c r="E17" s="21" t="s">
        <v>50</v>
      </c>
      <c r="F17" s="20" t="s">
        <v>16</v>
      </c>
      <c r="G17" s="85" t="s">
        <v>85</v>
      </c>
      <c r="H17" s="85" t="s">
        <v>85</v>
      </c>
      <c r="I17" s="85" t="s">
        <v>85</v>
      </c>
      <c r="J17" s="12" t="s">
        <v>85</v>
      </c>
      <c r="K17" s="12" t="s">
        <v>85</v>
      </c>
      <c r="L17" s="12" t="s">
        <v>85</v>
      </c>
      <c r="M17" s="12" t="s">
        <v>85</v>
      </c>
      <c r="N17" s="12" t="s">
        <v>85</v>
      </c>
      <c r="O17" s="85" t="s">
        <v>85</v>
      </c>
      <c r="P17" s="85" t="s">
        <v>85</v>
      </c>
      <c r="Q17" s="12">
        <v>4</v>
      </c>
      <c r="R17" s="12">
        <v>4</v>
      </c>
      <c r="S17" s="12">
        <v>4</v>
      </c>
      <c r="T17" s="12">
        <v>4</v>
      </c>
      <c r="U17" s="12">
        <v>4</v>
      </c>
      <c r="V17" s="85">
        <v>5</v>
      </c>
      <c r="W17" s="85">
        <v>5</v>
      </c>
      <c r="X17" s="12">
        <v>4</v>
      </c>
      <c r="Y17" s="85" t="s">
        <v>85</v>
      </c>
      <c r="Z17" s="12">
        <v>4</v>
      </c>
      <c r="AA17" s="12">
        <v>4</v>
      </c>
      <c r="AB17" s="12">
        <v>3</v>
      </c>
      <c r="AC17" s="85" t="s">
        <v>85</v>
      </c>
      <c r="AD17" s="85" t="s">
        <v>85</v>
      </c>
      <c r="AE17" s="85" t="s">
        <v>85</v>
      </c>
      <c r="AF17" s="85" t="s">
        <v>85</v>
      </c>
      <c r="AG17" s="85" t="s">
        <v>85</v>
      </c>
      <c r="AH17" s="85" t="s">
        <v>85</v>
      </c>
      <c r="AI17" s="85" t="s">
        <v>85</v>
      </c>
      <c r="AJ17" s="85" t="s">
        <v>85</v>
      </c>
      <c r="AK17" s="12"/>
      <c r="AL17" s="15">
        <f t="shared" si="1"/>
        <v>45</v>
      </c>
      <c r="AM17" s="16"/>
      <c r="AN17" s="16"/>
      <c r="AO17" s="78">
        <f t="shared" si="0"/>
        <v>5</v>
      </c>
      <c r="AP17" s="5"/>
    </row>
    <row r="18" spans="1:42" s="32" customFormat="1" x14ac:dyDescent="0.25">
      <c r="A18" s="18">
        <v>11</v>
      </c>
      <c r="B18" s="19"/>
      <c r="C18" s="53">
        <v>304777</v>
      </c>
      <c r="D18" s="54">
        <v>55948486874</v>
      </c>
      <c r="E18" s="21" t="s">
        <v>51</v>
      </c>
      <c r="F18" s="20" t="s">
        <v>16</v>
      </c>
      <c r="G18" s="85" t="s">
        <v>85</v>
      </c>
      <c r="H18" s="85" t="s">
        <v>85</v>
      </c>
      <c r="I18" s="85">
        <v>5</v>
      </c>
      <c r="J18" s="12">
        <v>3</v>
      </c>
      <c r="K18" s="12">
        <v>3</v>
      </c>
      <c r="L18" s="12">
        <v>3</v>
      </c>
      <c r="M18" s="12">
        <v>2</v>
      </c>
      <c r="N18" s="12">
        <v>3</v>
      </c>
      <c r="O18" s="85" t="s">
        <v>85</v>
      </c>
      <c r="P18" s="85" t="s">
        <v>85</v>
      </c>
      <c r="Q18" s="12">
        <v>3</v>
      </c>
      <c r="R18" s="12">
        <v>3</v>
      </c>
      <c r="S18" s="12">
        <v>2</v>
      </c>
      <c r="T18" s="12">
        <v>3</v>
      </c>
      <c r="U18" s="12">
        <v>3</v>
      </c>
      <c r="V18" s="85" t="s">
        <v>85</v>
      </c>
      <c r="W18" s="85" t="s">
        <v>85</v>
      </c>
      <c r="X18" s="12">
        <v>3</v>
      </c>
      <c r="Y18" s="85" t="s">
        <v>85</v>
      </c>
      <c r="Z18" s="12">
        <v>3</v>
      </c>
      <c r="AA18" s="12">
        <v>3</v>
      </c>
      <c r="AB18" s="12">
        <v>3</v>
      </c>
      <c r="AC18" s="85" t="s">
        <v>85</v>
      </c>
      <c r="AD18" s="85" t="s">
        <v>85</v>
      </c>
      <c r="AE18" s="85" t="s">
        <v>85</v>
      </c>
      <c r="AF18" s="85" t="s">
        <v>85</v>
      </c>
      <c r="AG18" s="85" t="s">
        <v>85</v>
      </c>
      <c r="AH18" s="85" t="s">
        <v>85</v>
      </c>
      <c r="AI18" s="85" t="s">
        <v>85</v>
      </c>
      <c r="AJ18" s="85" t="s">
        <v>85</v>
      </c>
      <c r="AK18" s="12"/>
      <c r="AL18" s="15">
        <f t="shared" si="1"/>
        <v>45</v>
      </c>
      <c r="AM18" s="16"/>
      <c r="AN18" s="16"/>
      <c r="AO18" s="78">
        <f t="shared" si="0"/>
        <v>5</v>
      </c>
      <c r="AP18" s="5"/>
    </row>
    <row r="19" spans="1:42" s="32" customFormat="1" x14ac:dyDescent="0.25">
      <c r="A19" s="18">
        <v>12</v>
      </c>
      <c r="B19" s="19"/>
      <c r="C19" s="53">
        <v>304760</v>
      </c>
      <c r="D19" s="54">
        <v>41857369766</v>
      </c>
      <c r="E19" s="21" t="s">
        <v>52</v>
      </c>
      <c r="F19" s="20" t="s">
        <v>16</v>
      </c>
      <c r="G19" s="85" t="s">
        <v>85</v>
      </c>
      <c r="H19" s="85">
        <v>5</v>
      </c>
      <c r="I19" s="85" t="s">
        <v>85</v>
      </c>
      <c r="J19" s="12">
        <v>3</v>
      </c>
      <c r="K19" s="12">
        <v>3</v>
      </c>
      <c r="L19" s="12">
        <v>2</v>
      </c>
      <c r="M19" s="12">
        <v>3</v>
      </c>
      <c r="N19" s="12">
        <v>3</v>
      </c>
      <c r="O19" s="85" t="s">
        <v>85</v>
      </c>
      <c r="P19" s="85">
        <v>5</v>
      </c>
      <c r="Q19" s="12">
        <v>2</v>
      </c>
      <c r="R19" s="12">
        <v>3</v>
      </c>
      <c r="S19" s="12">
        <v>3</v>
      </c>
      <c r="T19" s="12">
        <v>2</v>
      </c>
      <c r="U19" s="12">
        <v>3</v>
      </c>
      <c r="V19" s="85">
        <v>5</v>
      </c>
      <c r="W19" s="85" t="s">
        <v>85</v>
      </c>
      <c r="X19" s="12">
        <v>3</v>
      </c>
      <c r="Y19" s="85" t="s">
        <v>85</v>
      </c>
      <c r="Z19" s="12" t="s">
        <v>85</v>
      </c>
      <c r="AA19" s="12" t="s">
        <v>85</v>
      </c>
      <c r="AB19" s="12" t="s">
        <v>85</v>
      </c>
      <c r="AC19" s="85" t="s">
        <v>85</v>
      </c>
      <c r="AD19" s="85" t="s">
        <v>85</v>
      </c>
      <c r="AE19" s="85" t="s">
        <v>85</v>
      </c>
      <c r="AF19" s="85" t="s">
        <v>85</v>
      </c>
      <c r="AG19" s="85" t="s">
        <v>85</v>
      </c>
      <c r="AH19" s="85" t="s">
        <v>85</v>
      </c>
      <c r="AI19" s="85" t="s">
        <v>85</v>
      </c>
      <c r="AJ19" s="85" t="s">
        <v>85</v>
      </c>
      <c r="AK19" s="12"/>
      <c r="AL19" s="15">
        <f t="shared" si="1"/>
        <v>45</v>
      </c>
      <c r="AM19" s="16"/>
      <c r="AN19" s="16"/>
      <c r="AO19" s="78">
        <f t="shared" si="0"/>
        <v>5</v>
      </c>
      <c r="AP19" s="5"/>
    </row>
    <row r="20" spans="1:42" s="32" customFormat="1" x14ac:dyDescent="0.25">
      <c r="A20" s="18">
        <v>13</v>
      </c>
      <c r="B20" s="19"/>
      <c r="C20" s="53">
        <v>110942</v>
      </c>
      <c r="D20" s="54">
        <v>12065762830</v>
      </c>
      <c r="E20" s="21" t="s">
        <v>53</v>
      </c>
      <c r="F20" s="20" t="s">
        <v>16</v>
      </c>
      <c r="G20" s="85" t="s">
        <v>85</v>
      </c>
      <c r="H20" s="85">
        <v>5</v>
      </c>
      <c r="I20" s="85" t="s">
        <v>85</v>
      </c>
      <c r="J20" s="12">
        <v>3</v>
      </c>
      <c r="K20" s="12">
        <v>3</v>
      </c>
      <c r="L20" s="12">
        <v>2</v>
      </c>
      <c r="M20" s="12">
        <v>3</v>
      </c>
      <c r="N20" s="12" t="s">
        <v>85</v>
      </c>
      <c r="O20" s="85" t="s">
        <v>85</v>
      </c>
      <c r="P20" s="85" t="s">
        <v>85</v>
      </c>
      <c r="Q20" s="12">
        <v>3</v>
      </c>
      <c r="R20" s="12">
        <v>2</v>
      </c>
      <c r="S20" s="12">
        <v>2</v>
      </c>
      <c r="T20" s="12">
        <v>2</v>
      </c>
      <c r="U20" s="12">
        <v>3</v>
      </c>
      <c r="V20" s="85" t="s">
        <v>85</v>
      </c>
      <c r="W20" s="85">
        <v>5</v>
      </c>
      <c r="X20" s="12">
        <v>3</v>
      </c>
      <c r="Y20" s="85" t="s">
        <v>85</v>
      </c>
      <c r="Z20" s="12">
        <v>3</v>
      </c>
      <c r="AA20" s="12">
        <v>3</v>
      </c>
      <c r="AB20" s="12">
        <v>3</v>
      </c>
      <c r="AC20" s="85" t="s">
        <v>85</v>
      </c>
      <c r="AD20" s="85" t="s">
        <v>85</v>
      </c>
      <c r="AE20" s="85" t="s">
        <v>85</v>
      </c>
      <c r="AF20" s="85" t="s">
        <v>85</v>
      </c>
      <c r="AG20" s="85" t="s">
        <v>85</v>
      </c>
      <c r="AH20" s="85" t="s">
        <v>85</v>
      </c>
      <c r="AI20" s="85" t="s">
        <v>85</v>
      </c>
      <c r="AJ20" s="85" t="s">
        <v>85</v>
      </c>
      <c r="AK20" s="12"/>
      <c r="AL20" s="15">
        <f t="shared" si="1"/>
        <v>45</v>
      </c>
      <c r="AM20" s="16"/>
      <c r="AN20" s="16"/>
      <c r="AO20" s="78">
        <f t="shared" si="0"/>
        <v>5</v>
      </c>
      <c r="AP20" s="5"/>
    </row>
    <row r="21" spans="1:42" s="32" customFormat="1" x14ac:dyDescent="0.25">
      <c r="A21" s="18">
        <v>14</v>
      </c>
      <c r="B21" s="19"/>
      <c r="C21" s="53">
        <v>229779</v>
      </c>
      <c r="D21" s="54">
        <v>21281416588</v>
      </c>
      <c r="E21" s="21" t="s">
        <v>54</v>
      </c>
      <c r="F21" s="20" t="s">
        <v>16</v>
      </c>
      <c r="G21" s="85" t="s">
        <v>85</v>
      </c>
      <c r="H21" s="85" t="s">
        <v>85</v>
      </c>
      <c r="I21" s="85">
        <v>5</v>
      </c>
      <c r="J21" s="12">
        <v>3</v>
      </c>
      <c r="K21" s="12">
        <v>3</v>
      </c>
      <c r="L21" s="12">
        <v>2</v>
      </c>
      <c r="M21" s="12">
        <v>3</v>
      </c>
      <c r="N21" s="12">
        <v>3</v>
      </c>
      <c r="O21" s="85" t="s">
        <v>85</v>
      </c>
      <c r="P21" s="85" t="s">
        <v>85</v>
      </c>
      <c r="Q21" s="12">
        <v>3</v>
      </c>
      <c r="R21" s="12">
        <v>3</v>
      </c>
      <c r="S21" s="12">
        <v>3</v>
      </c>
      <c r="T21" s="12">
        <v>2</v>
      </c>
      <c r="U21" s="12">
        <v>3</v>
      </c>
      <c r="V21" s="85" t="s">
        <v>85</v>
      </c>
      <c r="W21" s="85" t="s">
        <v>85</v>
      </c>
      <c r="X21" s="12">
        <v>3</v>
      </c>
      <c r="Y21" s="85" t="s">
        <v>85</v>
      </c>
      <c r="Z21" s="12">
        <v>3</v>
      </c>
      <c r="AA21" s="12">
        <v>3</v>
      </c>
      <c r="AB21" s="12">
        <v>3</v>
      </c>
      <c r="AC21" s="85" t="s">
        <v>85</v>
      </c>
      <c r="AD21" s="85" t="s">
        <v>85</v>
      </c>
      <c r="AE21" s="85" t="s">
        <v>85</v>
      </c>
      <c r="AF21" s="85" t="s">
        <v>85</v>
      </c>
      <c r="AG21" s="85" t="s">
        <v>85</v>
      </c>
      <c r="AH21" s="85" t="s">
        <v>85</v>
      </c>
      <c r="AI21" s="85" t="s">
        <v>85</v>
      </c>
      <c r="AJ21" s="85" t="s">
        <v>85</v>
      </c>
      <c r="AK21" s="12"/>
      <c r="AL21" s="15">
        <f t="shared" si="1"/>
        <v>45</v>
      </c>
      <c r="AM21" s="16"/>
      <c r="AN21" s="16"/>
      <c r="AO21" s="78">
        <f t="shared" si="0"/>
        <v>5</v>
      </c>
      <c r="AP21" s="5"/>
    </row>
    <row r="22" spans="1:42" s="32" customFormat="1" x14ac:dyDescent="0.25">
      <c r="A22" s="18">
        <v>15</v>
      </c>
      <c r="B22" s="19"/>
      <c r="C22" s="53">
        <v>253212</v>
      </c>
      <c r="D22" s="54">
        <v>15344845576</v>
      </c>
      <c r="E22" s="21" t="s">
        <v>55</v>
      </c>
      <c r="F22" s="20" t="s">
        <v>16</v>
      </c>
      <c r="G22" s="85" t="s">
        <v>85</v>
      </c>
      <c r="H22" s="85" t="s">
        <v>85</v>
      </c>
      <c r="I22" s="85" t="s">
        <v>85</v>
      </c>
      <c r="J22" s="12">
        <v>3</v>
      </c>
      <c r="K22" s="12">
        <v>3</v>
      </c>
      <c r="L22" s="12">
        <v>3</v>
      </c>
      <c r="M22" s="12">
        <v>2</v>
      </c>
      <c r="N22" s="12">
        <v>3</v>
      </c>
      <c r="O22" s="85">
        <v>5</v>
      </c>
      <c r="P22" s="85">
        <v>5</v>
      </c>
      <c r="Q22" s="12">
        <v>3</v>
      </c>
      <c r="R22" s="12">
        <v>2</v>
      </c>
      <c r="S22" s="12">
        <v>2</v>
      </c>
      <c r="T22" s="12">
        <v>3</v>
      </c>
      <c r="U22" s="12">
        <v>3</v>
      </c>
      <c r="V22" s="85" t="s">
        <v>85</v>
      </c>
      <c r="W22" s="85">
        <v>5</v>
      </c>
      <c r="X22" s="12">
        <v>3</v>
      </c>
      <c r="Y22" s="85" t="s">
        <v>85</v>
      </c>
      <c r="Z22" s="12" t="s">
        <v>85</v>
      </c>
      <c r="AA22" s="12" t="s">
        <v>85</v>
      </c>
      <c r="AB22" s="12" t="s">
        <v>85</v>
      </c>
      <c r="AC22" s="85" t="s">
        <v>85</v>
      </c>
      <c r="AD22" s="85" t="s">
        <v>85</v>
      </c>
      <c r="AE22" s="85" t="s">
        <v>85</v>
      </c>
      <c r="AF22" s="85" t="s">
        <v>85</v>
      </c>
      <c r="AG22" s="85" t="s">
        <v>85</v>
      </c>
      <c r="AH22" s="85" t="s">
        <v>85</v>
      </c>
      <c r="AI22" s="85" t="s">
        <v>85</v>
      </c>
      <c r="AJ22" s="85" t="s">
        <v>85</v>
      </c>
      <c r="AK22" s="12"/>
      <c r="AL22" s="15">
        <f t="shared" si="1"/>
        <v>45</v>
      </c>
      <c r="AM22" s="16"/>
      <c r="AN22" s="16"/>
      <c r="AO22" s="78">
        <f t="shared" si="0"/>
        <v>5</v>
      </c>
      <c r="AP22" s="5"/>
    </row>
    <row r="23" spans="1:42" s="32" customFormat="1" x14ac:dyDescent="0.25">
      <c r="A23" s="18">
        <v>16</v>
      </c>
      <c r="B23" s="19"/>
      <c r="C23" s="53">
        <v>222207</v>
      </c>
      <c r="D23" s="54">
        <v>13879006622</v>
      </c>
      <c r="E23" s="21" t="s">
        <v>56</v>
      </c>
      <c r="F23" s="20" t="s">
        <v>16</v>
      </c>
      <c r="G23" s="85" t="s">
        <v>85</v>
      </c>
      <c r="H23" s="85" t="s">
        <v>85</v>
      </c>
      <c r="I23" s="85" t="s">
        <v>85</v>
      </c>
      <c r="J23" s="12">
        <v>3</v>
      </c>
      <c r="K23" s="12" t="s">
        <v>85</v>
      </c>
      <c r="L23" s="12" t="s">
        <v>85</v>
      </c>
      <c r="M23" s="12">
        <v>3</v>
      </c>
      <c r="N23" s="12">
        <v>3</v>
      </c>
      <c r="O23" s="85" t="s">
        <v>85</v>
      </c>
      <c r="P23" s="85" t="s">
        <v>85</v>
      </c>
      <c r="Q23" s="12">
        <v>3</v>
      </c>
      <c r="R23" s="12">
        <v>3</v>
      </c>
      <c r="S23" s="12">
        <v>3</v>
      </c>
      <c r="T23" s="12">
        <v>3</v>
      </c>
      <c r="U23" s="12">
        <v>3</v>
      </c>
      <c r="V23" s="85">
        <v>5</v>
      </c>
      <c r="W23" s="85">
        <v>5</v>
      </c>
      <c r="X23" s="12">
        <v>3</v>
      </c>
      <c r="Y23" s="85" t="s">
        <v>85</v>
      </c>
      <c r="Z23" s="12">
        <v>3</v>
      </c>
      <c r="AA23" s="12">
        <v>2</v>
      </c>
      <c r="AB23" s="12">
        <v>3</v>
      </c>
      <c r="AC23" s="85" t="s">
        <v>85</v>
      </c>
      <c r="AD23" s="85" t="s">
        <v>85</v>
      </c>
      <c r="AE23" s="85" t="s">
        <v>85</v>
      </c>
      <c r="AF23" s="85" t="s">
        <v>85</v>
      </c>
      <c r="AG23" s="85" t="s">
        <v>85</v>
      </c>
      <c r="AH23" s="85" t="s">
        <v>85</v>
      </c>
      <c r="AI23" s="85" t="s">
        <v>85</v>
      </c>
      <c r="AJ23" s="85" t="s">
        <v>85</v>
      </c>
      <c r="AK23" s="12"/>
      <c r="AL23" s="15">
        <f t="shared" si="1"/>
        <v>45</v>
      </c>
      <c r="AM23" s="16"/>
      <c r="AN23" s="16"/>
      <c r="AO23" s="78">
        <f t="shared" si="0"/>
        <v>5</v>
      </c>
      <c r="AP23" s="5"/>
    </row>
    <row r="24" spans="1:42" s="32" customFormat="1" ht="15" customHeight="1" x14ac:dyDescent="0.25">
      <c r="A24" s="18">
        <v>17</v>
      </c>
      <c r="B24" s="19"/>
      <c r="C24" s="53">
        <v>304006</v>
      </c>
      <c r="D24" s="54">
        <v>11026134198</v>
      </c>
      <c r="E24" s="71" t="s">
        <v>57</v>
      </c>
      <c r="F24" s="20" t="s">
        <v>16</v>
      </c>
      <c r="G24" s="85" t="s">
        <v>85</v>
      </c>
      <c r="H24" s="85" t="s">
        <v>85</v>
      </c>
      <c r="I24" s="85" t="s">
        <v>85</v>
      </c>
      <c r="J24" s="12">
        <v>3</v>
      </c>
      <c r="K24" s="12">
        <v>3</v>
      </c>
      <c r="L24" s="12">
        <v>2</v>
      </c>
      <c r="M24" s="12">
        <v>3</v>
      </c>
      <c r="N24" s="12">
        <v>3</v>
      </c>
      <c r="O24" s="85" t="s">
        <v>85</v>
      </c>
      <c r="P24" s="85" t="s">
        <v>85</v>
      </c>
      <c r="Q24" s="12">
        <v>3</v>
      </c>
      <c r="R24" s="12">
        <v>3</v>
      </c>
      <c r="S24" s="12">
        <v>2</v>
      </c>
      <c r="T24" s="12">
        <v>3</v>
      </c>
      <c r="U24" s="12">
        <v>3</v>
      </c>
      <c r="V24" s="85" t="s">
        <v>85</v>
      </c>
      <c r="W24" s="85">
        <v>5</v>
      </c>
      <c r="X24" s="12">
        <v>3</v>
      </c>
      <c r="Y24" s="85" t="s">
        <v>85</v>
      </c>
      <c r="Z24" s="12">
        <v>3</v>
      </c>
      <c r="AA24" s="12">
        <v>3</v>
      </c>
      <c r="AB24" s="12">
        <v>3</v>
      </c>
      <c r="AC24" s="85" t="s">
        <v>85</v>
      </c>
      <c r="AD24" s="85" t="s">
        <v>85</v>
      </c>
      <c r="AE24" s="85" t="s">
        <v>85</v>
      </c>
      <c r="AF24" s="85" t="s">
        <v>85</v>
      </c>
      <c r="AG24" s="85" t="s">
        <v>85</v>
      </c>
      <c r="AH24" s="85" t="s">
        <v>85</v>
      </c>
      <c r="AI24" s="85" t="s">
        <v>85</v>
      </c>
      <c r="AJ24" s="85" t="s">
        <v>85</v>
      </c>
      <c r="AK24" s="12"/>
      <c r="AL24" s="15">
        <f t="shared" si="1"/>
        <v>45</v>
      </c>
      <c r="AM24" s="16"/>
      <c r="AN24" s="16"/>
      <c r="AO24" s="78">
        <f t="shared" si="0"/>
        <v>5</v>
      </c>
      <c r="AP24" s="5"/>
    </row>
    <row r="25" spans="1:42" s="32" customFormat="1" x14ac:dyDescent="0.25">
      <c r="A25" s="18">
        <v>18</v>
      </c>
      <c r="B25" s="19"/>
      <c r="C25" s="53">
        <v>303988</v>
      </c>
      <c r="D25" s="54">
        <v>11224059576</v>
      </c>
      <c r="E25" s="21" t="s">
        <v>60</v>
      </c>
      <c r="F25" s="20" t="s">
        <v>16</v>
      </c>
      <c r="G25" s="85" t="s">
        <v>85</v>
      </c>
      <c r="H25" s="85" t="s">
        <v>85</v>
      </c>
      <c r="I25" s="85">
        <v>5</v>
      </c>
      <c r="J25" s="12">
        <v>3</v>
      </c>
      <c r="K25" s="12">
        <v>3</v>
      </c>
      <c r="L25" s="12">
        <v>2</v>
      </c>
      <c r="M25" s="12">
        <v>3</v>
      </c>
      <c r="N25" s="12">
        <v>3</v>
      </c>
      <c r="O25" s="85" t="s">
        <v>85</v>
      </c>
      <c r="P25" s="85" t="s">
        <v>85</v>
      </c>
      <c r="Q25" s="12">
        <v>2</v>
      </c>
      <c r="R25" s="12">
        <v>3</v>
      </c>
      <c r="S25" s="12">
        <v>3</v>
      </c>
      <c r="T25" s="12">
        <v>3</v>
      </c>
      <c r="U25" s="12">
        <v>3</v>
      </c>
      <c r="V25" s="85" t="s">
        <v>85</v>
      </c>
      <c r="W25" s="85" t="s">
        <v>85</v>
      </c>
      <c r="X25" s="12">
        <v>3</v>
      </c>
      <c r="Y25" s="85" t="s">
        <v>85</v>
      </c>
      <c r="Z25" s="12">
        <v>3</v>
      </c>
      <c r="AA25" s="12">
        <v>3</v>
      </c>
      <c r="AB25" s="12">
        <v>3</v>
      </c>
      <c r="AC25" s="85" t="s">
        <v>85</v>
      </c>
      <c r="AD25" s="85" t="s">
        <v>85</v>
      </c>
      <c r="AE25" s="85" t="s">
        <v>85</v>
      </c>
      <c r="AF25" s="85" t="s">
        <v>85</v>
      </c>
      <c r="AG25" s="85" t="s">
        <v>85</v>
      </c>
      <c r="AH25" s="85" t="s">
        <v>85</v>
      </c>
      <c r="AI25" s="85" t="s">
        <v>85</v>
      </c>
      <c r="AJ25" s="85" t="s">
        <v>85</v>
      </c>
      <c r="AK25" s="12"/>
      <c r="AL25" s="15">
        <f t="shared" si="1"/>
        <v>45</v>
      </c>
      <c r="AM25" s="16"/>
      <c r="AN25" s="16"/>
      <c r="AO25" s="78">
        <f t="shared" si="0"/>
        <v>5</v>
      </c>
      <c r="AP25" s="5"/>
    </row>
    <row r="26" spans="1:42" s="32" customFormat="1" x14ac:dyDescent="0.25">
      <c r="A26" s="18">
        <v>19</v>
      </c>
      <c r="B26" s="19"/>
      <c r="C26" s="53">
        <v>221713</v>
      </c>
      <c r="D26" s="54">
        <v>20510328180</v>
      </c>
      <c r="E26" s="21" t="s">
        <v>61</v>
      </c>
      <c r="F26" s="20" t="s">
        <v>16</v>
      </c>
      <c r="G26" s="85" t="s">
        <v>85</v>
      </c>
      <c r="H26" s="85" t="s">
        <v>85</v>
      </c>
      <c r="I26" s="85">
        <v>5</v>
      </c>
      <c r="J26" s="12">
        <v>3</v>
      </c>
      <c r="K26" s="12">
        <v>2</v>
      </c>
      <c r="L26" s="12">
        <v>3</v>
      </c>
      <c r="M26" s="12">
        <v>3</v>
      </c>
      <c r="N26" s="12">
        <v>2</v>
      </c>
      <c r="O26" s="85">
        <v>5</v>
      </c>
      <c r="P26" s="85" t="s">
        <v>85</v>
      </c>
      <c r="Q26" s="12">
        <v>3</v>
      </c>
      <c r="R26" s="12">
        <v>3</v>
      </c>
      <c r="S26" s="12">
        <v>2</v>
      </c>
      <c r="T26" s="12">
        <v>3</v>
      </c>
      <c r="U26" s="12">
        <v>3</v>
      </c>
      <c r="V26" s="85">
        <v>5</v>
      </c>
      <c r="W26" s="85" t="s">
        <v>85</v>
      </c>
      <c r="X26" s="12">
        <v>3</v>
      </c>
      <c r="Y26" s="85" t="s">
        <v>85</v>
      </c>
      <c r="Z26" s="12" t="s">
        <v>85</v>
      </c>
      <c r="AA26" s="12" t="s">
        <v>85</v>
      </c>
      <c r="AB26" s="12" t="s">
        <v>85</v>
      </c>
      <c r="AC26" s="85" t="s">
        <v>85</v>
      </c>
      <c r="AD26" s="85" t="s">
        <v>85</v>
      </c>
      <c r="AE26" s="85" t="s">
        <v>85</v>
      </c>
      <c r="AF26" s="85" t="s">
        <v>85</v>
      </c>
      <c r="AG26" s="85" t="s">
        <v>85</v>
      </c>
      <c r="AH26" s="85" t="s">
        <v>85</v>
      </c>
      <c r="AI26" s="85" t="s">
        <v>85</v>
      </c>
      <c r="AJ26" s="85" t="s">
        <v>85</v>
      </c>
      <c r="AK26" s="12"/>
      <c r="AL26" s="15">
        <f t="shared" si="1"/>
        <v>45</v>
      </c>
      <c r="AM26" s="16"/>
      <c r="AN26" s="16"/>
      <c r="AO26" s="78">
        <f t="shared" si="0"/>
        <v>5</v>
      </c>
      <c r="AP26" s="5"/>
    </row>
    <row r="27" spans="1:42" s="32" customFormat="1" x14ac:dyDescent="0.25">
      <c r="A27" s="18">
        <v>20</v>
      </c>
      <c r="B27" s="19"/>
      <c r="C27" s="53">
        <v>304692</v>
      </c>
      <c r="D27" s="54">
        <v>40012025004</v>
      </c>
      <c r="E27" s="21" t="s">
        <v>62</v>
      </c>
      <c r="F27" s="20" t="s">
        <v>16</v>
      </c>
      <c r="G27" s="85" t="s">
        <v>85</v>
      </c>
      <c r="H27" s="85" t="s">
        <v>85</v>
      </c>
      <c r="I27" s="85">
        <v>5</v>
      </c>
      <c r="J27" s="12">
        <v>3</v>
      </c>
      <c r="K27" s="12">
        <v>2</v>
      </c>
      <c r="L27" s="12">
        <v>3</v>
      </c>
      <c r="M27" s="12">
        <v>3</v>
      </c>
      <c r="N27" s="12" t="s">
        <v>85</v>
      </c>
      <c r="O27" s="85" t="s">
        <v>85</v>
      </c>
      <c r="P27" s="85" t="s">
        <v>85</v>
      </c>
      <c r="Q27" s="12">
        <v>2</v>
      </c>
      <c r="R27" s="12">
        <v>3</v>
      </c>
      <c r="S27" s="12">
        <v>2</v>
      </c>
      <c r="T27" s="12">
        <v>3</v>
      </c>
      <c r="U27" s="12">
        <v>2</v>
      </c>
      <c r="V27" s="85">
        <v>5</v>
      </c>
      <c r="W27" s="85" t="s">
        <v>85</v>
      </c>
      <c r="X27" s="12">
        <v>3</v>
      </c>
      <c r="Y27" s="85" t="s">
        <v>85</v>
      </c>
      <c r="Z27" s="12">
        <v>3</v>
      </c>
      <c r="AA27" s="12">
        <v>3</v>
      </c>
      <c r="AB27" s="12">
        <v>3</v>
      </c>
      <c r="AC27" s="85" t="s">
        <v>85</v>
      </c>
      <c r="AD27" s="85" t="s">
        <v>85</v>
      </c>
      <c r="AE27" s="85" t="s">
        <v>85</v>
      </c>
      <c r="AF27" s="85" t="s">
        <v>85</v>
      </c>
      <c r="AG27" s="85" t="s">
        <v>85</v>
      </c>
      <c r="AH27" s="85" t="s">
        <v>85</v>
      </c>
      <c r="AI27" s="85" t="s">
        <v>85</v>
      </c>
      <c r="AJ27" s="85" t="s">
        <v>85</v>
      </c>
      <c r="AK27" s="12"/>
      <c r="AL27" s="15">
        <f t="shared" si="1"/>
        <v>45</v>
      </c>
      <c r="AM27" s="16"/>
      <c r="AN27" s="16"/>
      <c r="AO27" s="78">
        <f t="shared" si="0"/>
        <v>5</v>
      </c>
      <c r="AP27" s="5"/>
    </row>
    <row r="28" spans="1:42" s="32" customFormat="1" x14ac:dyDescent="0.25">
      <c r="A28" s="18">
        <v>21</v>
      </c>
      <c r="B28" s="19"/>
      <c r="C28" s="74">
        <v>188116</v>
      </c>
      <c r="D28" s="75">
        <v>15823126110</v>
      </c>
      <c r="E28" s="21" t="s">
        <v>63</v>
      </c>
      <c r="F28" s="20" t="s">
        <v>16</v>
      </c>
      <c r="G28" s="85" t="s">
        <v>85</v>
      </c>
      <c r="H28" s="85" t="s">
        <v>85</v>
      </c>
      <c r="I28" s="85">
        <v>5</v>
      </c>
      <c r="J28" s="12">
        <v>3</v>
      </c>
      <c r="K28" s="12">
        <v>2</v>
      </c>
      <c r="L28" s="12">
        <v>3</v>
      </c>
      <c r="M28" s="12">
        <v>3</v>
      </c>
      <c r="N28" s="12">
        <v>3</v>
      </c>
      <c r="O28" s="85">
        <v>5</v>
      </c>
      <c r="P28" s="85" t="s">
        <v>85</v>
      </c>
      <c r="Q28" s="12">
        <v>3</v>
      </c>
      <c r="R28" s="12">
        <v>3</v>
      </c>
      <c r="S28" s="12">
        <v>2</v>
      </c>
      <c r="T28" s="12">
        <v>2</v>
      </c>
      <c r="U28" s="12">
        <v>3</v>
      </c>
      <c r="V28" s="85" t="s">
        <v>85</v>
      </c>
      <c r="W28" s="85" t="s">
        <v>85</v>
      </c>
      <c r="X28" s="12">
        <v>2</v>
      </c>
      <c r="Y28" s="85" t="s">
        <v>85</v>
      </c>
      <c r="Z28" s="12">
        <v>3</v>
      </c>
      <c r="AA28" s="12">
        <v>3</v>
      </c>
      <c r="AB28" s="12" t="s">
        <v>85</v>
      </c>
      <c r="AC28" s="85" t="s">
        <v>85</v>
      </c>
      <c r="AD28" s="85" t="s">
        <v>85</v>
      </c>
      <c r="AE28" s="85" t="s">
        <v>85</v>
      </c>
      <c r="AF28" s="85" t="s">
        <v>85</v>
      </c>
      <c r="AG28" s="85" t="s">
        <v>85</v>
      </c>
      <c r="AH28" s="85" t="s">
        <v>85</v>
      </c>
      <c r="AI28" s="85" t="s">
        <v>85</v>
      </c>
      <c r="AJ28" s="85" t="s">
        <v>85</v>
      </c>
      <c r="AK28" s="12"/>
      <c r="AL28" s="15">
        <f t="shared" si="1"/>
        <v>45</v>
      </c>
      <c r="AM28" s="16"/>
      <c r="AN28" s="16"/>
      <c r="AO28" s="78">
        <f t="shared" si="0"/>
        <v>5</v>
      </c>
      <c r="AP28" s="5"/>
    </row>
    <row r="29" spans="1:42" s="32" customFormat="1" x14ac:dyDescent="0.25">
      <c r="A29" s="18">
        <v>22</v>
      </c>
      <c r="B29" s="19"/>
      <c r="C29" s="74">
        <v>304709</v>
      </c>
      <c r="D29" s="75">
        <v>28136517698</v>
      </c>
      <c r="E29" s="21" t="s">
        <v>64</v>
      </c>
      <c r="F29" s="20" t="s">
        <v>16</v>
      </c>
      <c r="G29" s="85" t="s">
        <v>85</v>
      </c>
      <c r="H29" s="85" t="s">
        <v>85</v>
      </c>
      <c r="I29" s="85">
        <v>5</v>
      </c>
      <c r="J29" s="12">
        <v>2</v>
      </c>
      <c r="K29" s="12">
        <v>3</v>
      </c>
      <c r="L29" s="12" t="s">
        <v>85</v>
      </c>
      <c r="M29" s="12">
        <v>3</v>
      </c>
      <c r="N29" s="12">
        <v>2</v>
      </c>
      <c r="O29" s="85" t="s">
        <v>85</v>
      </c>
      <c r="P29" s="85">
        <v>5</v>
      </c>
      <c r="Q29" s="12">
        <v>3</v>
      </c>
      <c r="R29" s="12">
        <v>3</v>
      </c>
      <c r="S29" s="12" t="s">
        <v>85</v>
      </c>
      <c r="T29" s="12">
        <v>3</v>
      </c>
      <c r="U29" s="12">
        <v>2</v>
      </c>
      <c r="V29" s="85" t="s">
        <v>85</v>
      </c>
      <c r="W29" s="85">
        <v>5</v>
      </c>
      <c r="X29" s="12">
        <v>3</v>
      </c>
      <c r="Y29" s="85" t="s">
        <v>85</v>
      </c>
      <c r="Z29" s="12" t="s">
        <v>85</v>
      </c>
      <c r="AA29" s="12">
        <v>3</v>
      </c>
      <c r="AB29" s="12">
        <v>3</v>
      </c>
      <c r="AC29" s="85" t="s">
        <v>85</v>
      </c>
      <c r="AD29" s="85" t="s">
        <v>85</v>
      </c>
      <c r="AE29" s="85" t="s">
        <v>85</v>
      </c>
      <c r="AF29" s="85" t="s">
        <v>85</v>
      </c>
      <c r="AG29" s="85" t="s">
        <v>85</v>
      </c>
      <c r="AH29" s="85" t="s">
        <v>85</v>
      </c>
      <c r="AI29" s="85" t="s">
        <v>85</v>
      </c>
      <c r="AJ29" s="85" t="s">
        <v>85</v>
      </c>
      <c r="AK29" s="12"/>
      <c r="AL29" s="15">
        <f t="shared" si="1"/>
        <v>45</v>
      </c>
      <c r="AM29" s="16"/>
      <c r="AN29" s="16"/>
      <c r="AO29" s="78">
        <f t="shared" si="0"/>
        <v>5</v>
      </c>
      <c r="AP29" s="5"/>
    </row>
    <row r="30" spans="1:42" s="32" customFormat="1" x14ac:dyDescent="0.25">
      <c r="A30" s="18">
        <v>23</v>
      </c>
      <c r="B30" s="19"/>
      <c r="C30" s="74">
        <v>181079</v>
      </c>
      <c r="D30" s="75">
        <v>17890869334</v>
      </c>
      <c r="E30" s="21" t="s">
        <v>67</v>
      </c>
      <c r="F30" s="20" t="s">
        <v>16</v>
      </c>
      <c r="G30" s="85" t="s">
        <v>85</v>
      </c>
      <c r="H30" s="85" t="s">
        <v>85</v>
      </c>
      <c r="I30" s="85" t="s">
        <v>85</v>
      </c>
      <c r="J30" s="12">
        <v>3</v>
      </c>
      <c r="K30" s="12">
        <v>3</v>
      </c>
      <c r="L30" s="12">
        <v>3</v>
      </c>
      <c r="M30" s="12">
        <v>3</v>
      </c>
      <c r="N30" s="12">
        <v>3</v>
      </c>
      <c r="O30" s="85" t="s">
        <v>85</v>
      </c>
      <c r="P30" s="85" t="s">
        <v>85</v>
      </c>
      <c r="Q30" s="12">
        <v>3</v>
      </c>
      <c r="R30" s="12">
        <v>2</v>
      </c>
      <c r="S30" s="12">
        <v>3</v>
      </c>
      <c r="T30" s="12">
        <v>2</v>
      </c>
      <c r="U30" s="12">
        <v>3</v>
      </c>
      <c r="V30" s="85">
        <v>5</v>
      </c>
      <c r="W30" s="85" t="s">
        <v>85</v>
      </c>
      <c r="X30" s="12">
        <v>3</v>
      </c>
      <c r="Y30" s="85" t="s">
        <v>85</v>
      </c>
      <c r="Z30" s="12">
        <v>3</v>
      </c>
      <c r="AA30" s="12">
        <v>3</v>
      </c>
      <c r="AB30" s="12">
        <v>3</v>
      </c>
      <c r="AC30" s="85" t="s">
        <v>85</v>
      </c>
      <c r="AD30" s="85" t="s">
        <v>85</v>
      </c>
      <c r="AE30" s="85" t="s">
        <v>85</v>
      </c>
      <c r="AF30" s="85" t="s">
        <v>85</v>
      </c>
      <c r="AG30" s="85" t="s">
        <v>85</v>
      </c>
      <c r="AH30" s="85" t="s">
        <v>85</v>
      </c>
      <c r="AI30" s="85" t="s">
        <v>85</v>
      </c>
      <c r="AJ30" s="85" t="s">
        <v>85</v>
      </c>
      <c r="AK30" s="12"/>
      <c r="AL30" s="15">
        <f t="shared" si="1"/>
        <v>45</v>
      </c>
      <c r="AM30" s="16"/>
      <c r="AN30" s="16"/>
      <c r="AO30" s="78">
        <f t="shared" si="0"/>
        <v>5</v>
      </c>
      <c r="AP30" s="5"/>
    </row>
    <row r="31" spans="1:42" s="32" customFormat="1" x14ac:dyDescent="0.25">
      <c r="A31" s="18">
        <v>24</v>
      </c>
      <c r="B31" s="19"/>
      <c r="C31" s="75">
        <v>287462</v>
      </c>
      <c r="D31" s="75">
        <v>32113696764</v>
      </c>
      <c r="E31" s="21" t="s">
        <v>68</v>
      </c>
      <c r="F31" s="20" t="s">
        <v>16</v>
      </c>
      <c r="G31" s="85" t="s">
        <v>85</v>
      </c>
      <c r="H31" s="85">
        <v>5</v>
      </c>
      <c r="I31" s="85" t="s">
        <v>85</v>
      </c>
      <c r="J31" s="12" t="s">
        <v>85</v>
      </c>
      <c r="K31" s="12">
        <v>3</v>
      </c>
      <c r="L31" s="12">
        <v>3</v>
      </c>
      <c r="M31" s="12" t="s">
        <v>85</v>
      </c>
      <c r="N31" s="12" t="s">
        <v>85</v>
      </c>
      <c r="O31" s="85" t="s">
        <v>85</v>
      </c>
      <c r="P31" s="85" t="s">
        <v>85</v>
      </c>
      <c r="Q31" s="12">
        <v>3</v>
      </c>
      <c r="R31" s="12">
        <v>2</v>
      </c>
      <c r="S31" s="12">
        <v>2</v>
      </c>
      <c r="T31" s="12">
        <v>3</v>
      </c>
      <c r="U31" s="12">
        <v>3</v>
      </c>
      <c r="V31" s="85">
        <v>5</v>
      </c>
      <c r="W31" s="85">
        <v>5</v>
      </c>
      <c r="X31" s="12">
        <v>3</v>
      </c>
      <c r="Y31" s="85" t="s">
        <v>85</v>
      </c>
      <c r="Z31" s="12">
        <v>3</v>
      </c>
      <c r="AA31" s="12">
        <v>2</v>
      </c>
      <c r="AB31" s="12">
        <v>3</v>
      </c>
      <c r="AC31" s="85" t="s">
        <v>85</v>
      </c>
      <c r="AD31" s="85" t="s">
        <v>85</v>
      </c>
      <c r="AE31" s="85" t="s">
        <v>85</v>
      </c>
      <c r="AF31" s="85" t="s">
        <v>85</v>
      </c>
      <c r="AG31" s="85" t="s">
        <v>85</v>
      </c>
      <c r="AH31" s="85" t="s">
        <v>85</v>
      </c>
      <c r="AI31" s="85" t="s">
        <v>85</v>
      </c>
      <c r="AJ31" s="85" t="s">
        <v>85</v>
      </c>
      <c r="AK31" s="12"/>
      <c r="AL31" s="15">
        <f t="shared" si="1"/>
        <v>45</v>
      </c>
      <c r="AM31" s="16"/>
      <c r="AN31" s="16"/>
      <c r="AO31" s="78">
        <f t="shared" si="0"/>
        <v>5</v>
      </c>
      <c r="AP31" s="5"/>
    </row>
    <row r="32" spans="1:42" s="32" customFormat="1" x14ac:dyDescent="0.25">
      <c r="A32" s="18">
        <v>25</v>
      </c>
      <c r="B32" s="19"/>
      <c r="C32" s="75">
        <v>47447</v>
      </c>
      <c r="D32" s="54">
        <v>30073198922</v>
      </c>
      <c r="E32" s="21" t="s">
        <v>69</v>
      </c>
      <c r="F32" s="20" t="s">
        <v>16</v>
      </c>
      <c r="G32" s="85" t="s">
        <v>85</v>
      </c>
      <c r="H32" s="85" t="s">
        <v>85</v>
      </c>
      <c r="I32" s="85" t="s">
        <v>85</v>
      </c>
      <c r="J32" s="12">
        <v>3</v>
      </c>
      <c r="K32" s="12">
        <v>3</v>
      </c>
      <c r="L32" s="12">
        <v>3</v>
      </c>
      <c r="M32" s="12">
        <v>3</v>
      </c>
      <c r="N32" s="12">
        <v>3</v>
      </c>
      <c r="O32" s="85" t="s">
        <v>85</v>
      </c>
      <c r="P32" s="85" t="s">
        <v>85</v>
      </c>
      <c r="Q32" s="12">
        <v>3</v>
      </c>
      <c r="R32" s="12">
        <v>3</v>
      </c>
      <c r="S32" s="12">
        <v>2</v>
      </c>
      <c r="T32" s="12">
        <v>2</v>
      </c>
      <c r="U32" s="12">
        <v>3</v>
      </c>
      <c r="V32" s="85" t="s">
        <v>85</v>
      </c>
      <c r="W32" s="85">
        <v>5</v>
      </c>
      <c r="X32" s="12">
        <v>3</v>
      </c>
      <c r="Y32" s="85" t="s">
        <v>85</v>
      </c>
      <c r="Z32" s="12">
        <v>3</v>
      </c>
      <c r="AA32" s="12">
        <v>3</v>
      </c>
      <c r="AB32" s="12">
        <v>3</v>
      </c>
      <c r="AC32" s="85" t="s">
        <v>85</v>
      </c>
      <c r="AD32" s="85" t="s">
        <v>85</v>
      </c>
      <c r="AE32" s="85" t="s">
        <v>85</v>
      </c>
      <c r="AF32" s="85" t="s">
        <v>85</v>
      </c>
      <c r="AG32" s="85" t="s">
        <v>85</v>
      </c>
      <c r="AH32" s="85" t="s">
        <v>85</v>
      </c>
      <c r="AI32" s="85" t="s">
        <v>85</v>
      </c>
      <c r="AJ32" s="85" t="s">
        <v>85</v>
      </c>
      <c r="AK32" s="12"/>
      <c r="AL32" s="15">
        <f t="shared" si="1"/>
        <v>45</v>
      </c>
      <c r="AM32" s="16"/>
      <c r="AN32" s="16"/>
      <c r="AO32" s="78">
        <f t="shared" si="0"/>
        <v>5</v>
      </c>
      <c r="AP32" s="5"/>
    </row>
    <row r="33" spans="1:42" s="32" customFormat="1" x14ac:dyDescent="0.25">
      <c r="A33" s="18">
        <v>26</v>
      </c>
      <c r="B33" s="19"/>
      <c r="C33" s="74">
        <v>47414</v>
      </c>
      <c r="D33" s="76">
        <v>29131003278</v>
      </c>
      <c r="E33" s="21" t="s">
        <v>70</v>
      </c>
      <c r="F33" s="20" t="s">
        <v>16</v>
      </c>
      <c r="G33" s="85" t="s">
        <v>85</v>
      </c>
      <c r="H33" s="85" t="s">
        <v>85</v>
      </c>
      <c r="I33" s="85" t="s">
        <v>85</v>
      </c>
      <c r="J33" s="12" t="s">
        <v>85</v>
      </c>
      <c r="K33" s="12" t="s">
        <v>85</v>
      </c>
      <c r="L33" s="12" t="s">
        <v>85</v>
      </c>
      <c r="M33" s="12">
        <v>3</v>
      </c>
      <c r="N33" s="12">
        <v>3</v>
      </c>
      <c r="O33" s="85">
        <v>5</v>
      </c>
      <c r="P33" s="85">
        <v>5</v>
      </c>
      <c r="Q33" s="12">
        <v>3</v>
      </c>
      <c r="R33" s="12">
        <v>3</v>
      </c>
      <c r="S33" s="12">
        <v>3</v>
      </c>
      <c r="T33" s="12">
        <v>2</v>
      </c>
      <c r="U33" s="12">
        <v>2</v>
      </c>
      <c r="V33" s="85">
        <v>5</v>
      </c>
      <c r="W33" s="85" t="s">
        <v>85</v>
      </c>
      <c r="X33" s="12">
        <v>3</v>
      </c>
      <c r="Y33" s="85" t="s">
        <v>85</v>
      </c>
      <c r="Z33" s="12">
        <v>3</v>
      </c>
      <c r="AA33" s="12">
        <v>2</v>
      </c>
      <c r="AB33" s="12">
        <v>3</v>
      </c>
      <c r="AC33" s="85" t="s">
        <v>85</v>
      </c>
      <c r="AD33" s="85" t="s">
        <v>85</v>
      </c>
      <c r="AE33" s="85" t="s">
        <v>85</v>
      </c>
      <c r="AF33" s="85" t="s">
        <v>85</v>
      </c>
      <c r="AG33" s="85" t="s">
        <v>85</v>
      </c>
      <c r="AH33" s="85" t="s">
        <v>85</v>
      </c>
      <c r="AI33" s="85" t="s">
        <v>85</v>
      </c>
      <c r="AJ33" s="85" t="s">
        <v>85</v>
      </c>
      <c r="AK33" s="12"/>
      <c r="AL33" s="15">
        <f t="shared" si="1"/>
        <v>45</v>
      </c>
      <c r="AM33" s="16"/>
      <c r="AN33" s="16"/>
      <c r="AO33" s="78">
        <f t="shared" si="0"/>
        <v>5</v>
      </c>
      <c r="AP33" s="5"/>
    </row>
    <row r="34" spans="1:42" s="32" customFormat="1" x14ac:dyDescent="0.25">
      <c r="A34" s="18">
        <v>27</v>
      </c>
      <c r="B34" s="19"/>
      <c r="C34" s="54">
        <v>287487</v>
      </c>
      <c r="D34" s="54">
        <v>38095704534</v>
      </c>
      <c r="E34" s="21" t="s">
        <v>72</v>
      </c>
      <c r="F34" s="20" t="s">
        <v>16</v>
      </c>
      <c r="G34" s="85" t="s">
        <v>85</v>
      </c>
      <c r="H34" s="85" t="s">
        <v>85</v>
      </c>
      <c r="I34" s="85">
        <v>5</v>
      </c>
      <c r="J34" s="12">
        <v>3</v>
      </c>
      <c r="K34" s="12">
        <v>2</v>
      </c>
      <c r="L34" s="12" t="s">
        <v>85</v>
      </c>
      <c r="M34" s="12" t="s">
        <v>85</v>
      </c>
      <c r="N34" s="12">
        <v>3</v>
      </c>
      <c r="O34" s="85" t="s">
        <v>85</v>
      </c>
      <c r="P34" s="85" t="s">
        <v>85</v>
      </c>
      <c r="Q34" s="12">
        <v>3</v>
      </c>
      <c r="R34" s="12">
        <v>3</v>
      </c>
      <c r="S34" s="12">
        <v>3</v>
      </c>
      <c r="T34" s="12">
        <v>3</v>
      </c>
      <c r="U34" s="12">
        <v>3</v>
      </c>
      <c r="V34" s="85" t="s">
        <v>85</v>
      </c>
      <c r="W34" s="85">
        <v>5</v>
      </c>
      <c r="X34" s="12">
        <v>3</v>
      </c>
      <c r="Y34" s="85" t="s">
        <v>85</v>
      </c>
      <c r="Z34" s="12">
        <v>3</v>
      </c>
      <c r="AA34" s="12">
        <v>3</v>
      </c>
      <c r="AB34" s="12">
        <v>3</v>
      </c>
      <c r="AC34" s="85" t="s">
        <v>85</v>
      </c>
      <c r="AD34" s="85" t="s">
        <v>85</v>
      </c>
      <c r="AE34" s="85" t="s">
        <v>85</v>
      </c>
      <c r="AF34" s="85" t="s">
        <v>85</v>
      </c>
      <c r="AG34" s="85" t="s">
        <v>85</v>
      </c>
      <c r="AH34" s="85" t="s">
        <v>85</v>
      </c>
      <c r="AI34" s="85" t="s">
        <v>85</v>
      </c>
      <c r="AJ34" s="85" t="s">
        <v>85</v>
      </c>
      <c r="AK34" s="12"/>
      <c r="AL34" s="15">
        <f t="shared" si="1"/>
        <v>45</v>
      </c>
      <c r="AM34" s="16"/>
      <c r="AN34" s="16"/>
      <c r="AO34" s="78">
        <f t="shared" si="0"/>
        <v>5</v>
      </c>
      <c r="AP34" s="5"/>
    </row>
    <row r="35" spans="1:42" s="32" customFormat="1" x14ac:dyDescent="0.25">
      <c r="A35" s="18">
        <v>28</v>
      </c>
      <c r="B35" s="19"/>
      <c r="C35" s="54">
        <v>168950</v>
      </c>
      <c r="D35" s="54">
        <v>10672102032</v>
      </c>
      <c r="E35" s="21" t="s">
        <v>71</v>
      </c>
      <c r="F35" s="20" t="s">
        <v>16</v>
      </c>
      <c r="G35" s="85" t="s">
        <v>85</v>
      </c>
      <c r="H35" s="85" t="s">
        <v>85</v>
      </c>
      <c r="I35" s="85">
        <v>5</v>
      </c>
      <c r="J35" s="12">
        <v>3</v>
      </c>
      <c r="K35" s="12">
        <v>3</v>
      </c>
      <c r="L35" s="12" t="s">
        <v>85</v>
      </c>
      <c r="M35" s="12">
        <v>3</v>
      </c>
      <c r="N35" s="12" t="s">
        <v>85</v>
      </c>
      <c r="O35" s="85" t="s">
        <v>85</v>
      </c>
      <c r="P35" s="85">
        <v>5</v>
      </c>
      <c r="Q35" s="12">
        <v>3</v>
      </c>
      <c r="R35" s="12">
        <v>3</v>
      </c>
      <c r="S35" s="12">
        <v>3</v>
      </c>
      <c r="T35" s="12">
        <v>3</v>
      </c>
      <c r="U35" s="12" t="s">
        <v>85</v>
      </c>
      <c r="V35" s="85" t="s">
        <v>85</v>
      </c>
      <c r="W35" s="85">
        <v>5</v>
      </c>
      <c r="X35" s="12">
        <v>3</v>
      </c>
      <c r="Y35" s="85" t="s">
        <v>85</v>
      </c>
      <c r="Z35" s="12">
        <v>3</v>
      </c>
      <c r="AA35" s="12">
        <v>3</v>
      </c>
      <c r="AB35" s="12" t="s">
        <v>85</v>
      </c>
      <c r="AC35" s="85" t="s">
        <v>85</v>
      </c>
      <c r="AD35" s="85" t="s">
        <v>85</v>
      </c>
      <c r="AE35" s="85" t="s">
        <v>85</v>
      </c>
      <c r="AF35" s="85" t="s">
        <v>85</v>
      </c>
      <c r="AG35" s="85" t="s">
        <v>85</v>
      </c>
      <c r="AH35" s="85" t="s">
        <v>85</v>
      </c>
      <c r="AI35" s="85" t="s">
        <v>85</v>
      </c>
      <c r="AJ35" s="85" t="s">
        <v>85</v>
      </c>
      <c r="AK35" s="12"/>
      <c r="AL35" s="15">
        <f t="shared" si="1"/>
        <v>45</v>
      </c>
      <c r="AM35" s="16"/>
      <c r="AN35" s="16"/>
      <c r="AO35" s="78"/>
      <c r="AP35" s="5"/>
    </row>
    <row r="36" spans="1:42" s="32" customFormat="1" x14ac:dyDescent="0.25">
      <c r="A36" s="18">
        <v>29</v>
      </c>
      <c r="B36" s="19"/>
      <c r="C36" s="54">
        <v>48249</v>
      </c>
      <c r="D36" s="54">
        <v>27752424946</v>
      </c>
      <c r="E36" s="21" t="s">
        <v>58</v>
      </c>
      <c r="F36" s="20" t="s">
        <v>31</v>
      </c>
      <c r="G36" s="85" t="s">
        <v>85</v>
      </c>
      <c r="H36" s="85" t="s">
        <v>85</v>
      </c>
      <c r="I36" s="85" t="s">
        <v>85</v>
      </c>
      <c r="J36" s="12">
        <v>3</v>
      </c>
      <c r="K36" s="12">
        <v>3</v>
      </c>
      <c r="L36" s="12">
        <v>3</v>
      </c>
      <c r="M36" s="12">
        <v>2</v>
      </c>
      <c r="N36" s="12">
        <v>2</v>
      </c>
      <c r="O36" s="85">
        <v>5</v>
      </c>
      <c r="P36" s="85" t="s">
        <v>85</v>
      </c>
      <c r="Q36" s="12">
        <v>3</v>
      </c>
      <c r="R36" s="12">
        <v>3</v>
      </c>
      <c r="S36" s="12">
        <v>3</v>
      </c>
      <c r="T36" s="12">
        <v>3</v>
      </c>
      <c r="U36" s="12">
        <v>3</v>
      </c>
      <c r="V36" s="85" t="s">
        <v>85</v>
      </c>
      <c r="W36" s="85" t="s">
        <v>85</v>
      </c>
      <c r="X36" s="12">
        <v>3</v>
      </c>
      <c r="Y36" s="85" t="s">
        <v>85</v>
      </c>
      <c r="Z36" s="12">
        <v>3</v>
      </c>
      <c r="AA36" s="12">
        <v>3</v>
      </c>
      <c r="AB36" s="12">
        <v>3</v>
      </c>
      <c r="AC36" s="85" t="s">
        <v>85</v>
      </c>
      <c r="AD36" s="85" t="s">
        <v>85</v>
      </c>
      <c r="AE36" s="85" t="s">
        <v>85</v>
      </c>
      <c r="AF36" s="85" t="s">
        <v>85</v>
      </c>
      <c r="AG36" s="85" t="s">
        <v>85</v>
      </c>
      <c r="AH36" s="85" t="s">
        <v>85</v>
      </c>
      <c r="AI36" s="85" t="s">
        <v>85</v>
      </c>
      <c r="AJ36" s="85" t="s">
        <v>85</v>
      </c>
      <c r="AK36" s="12"/>
      <c r="AL36" s="15">
        <f t="shared" si="1"/>
        <v>45</v>
      </c>
      <c r="AM36" s="16"/>
      <c r="AN36" s="16"/>
      <c r="AO36" s="78">
        <f t="shared" si="0"/>
        <v>5</v>
      </c>
      <c r="AP36" s="5"/>
    </row>
    <row r="37" spans="1:42" s="32" customFormat="1" x14ac:dyDescent="0.25">
      <c r="A37" s="18">
        <v>31</v>
      </c>
      <c r="B37" s="19"/>
      <c r="C37" s="54">
        <v>271395</v>
      </c>
      <c r="D37" s="54">
        <v>31919154508</v>
      </c>
      <c r="E37" s="21" t="s">
        <v>65</v>
      </c>
      <c r="F37" s="20" t="s">
        <v>31</v>
      </c>
      <c r="G37" s="85" t="s">
        <v>85</v>
      </c>
      <c r="H37" s="85" t="s">
        <v>85</v>
      </c>
      <c r="I37" s="85" t="s">
        <v>85</v>
      </c>
      <c r="J37" s="12">
        <v>3</v>
      </c>
      <c r="K37" s="12">
        <v>3</v>
      </c>
      <c r="L37" s="12">
        <v>2</v>
      </c>
      <c r="M37" s="12">
        <v>3</v>
      </c>
      <c r="N37" s="12">
        <v>3</v>
      </c>
      <c r="O37" s="85">
        <v>5</v>
      </c>
      <c r="P37" s="85" t="s">
        <v>85</v>
      </c>
      <c r="Q37" s="12">
        <v>3</v>
      </c>
      <c r="R37" s="12">
        <v>3</v>
      </c>
      <c r="S37" s="12">
        <v>2</v>
      </c>
      <c r="T37" s="12">
        <v>3</v>
      </c>
      <c r="U37" s="12">
        <v>3</v>
      </c>
      <c r="V37" s="85" t="s">
        <v>85</v>
      </c>
      <c r="W37" s="85" t="s">
        <v>85</v>
      </c>
      <c r="X37" s="12">
        <v>3</v>
      </c>
      <c r="Y37" s="85" t="s">
        <v>85</v>
      </c>
      <c r="Z37" s="12">
        <v>3</v>
      </c>
      <c r="AA37" s="12">
        <v>3</v>
      </c>
      <c r="AB37" s="12">
        <v>3</v>
      </c>
      <c r="AC37" s="85" t="s">
        <v>85</v>
      </c>
      <c r="AD37" s="85" t="s">
        <v>85</v>
      </c>
      <c r="AE37" s="85" t="s">
        <v>85</v>
      </c>
      <c r="AF37" s="85" t="s">
        <v>85</v>
      </c>
      <c r="AG37" s="85" t="s">
        <v>85</v>
      </c>
      <c r="AH37" s="85" t="s">
        <v>85</v>
      </c>
      <c r="AI37" s="85" t="s">
        <v>85</v>
      </c>
      <c r="AJ37" s="85" t="s">
        <v>85</v>
      </c>
      <c r="AK37" s="12"/>
      <c r="AL37" s="15">
        <f t="shared" si="1"/>
        <v>45</v>
      </c>
      <c r="AM37" s="16"/>
      <c r="AN37" s="16"/>
      <c r="AO37" s="78">
        <f t="shared" si="0"/>
        <v>5</v>
      </c>
      <c r="AP37" s="5"/>
    </row>
    <row r="38" spans="1:42" s="32" customFormat="1" x14ac:dyDescent="0.25">
      <c r="A38" s="18">
        <v>32</v>
      </c>
      <c r="B38" s="19"/>
      <c r="C38" s="54">
        <v>48181</v>
      </c>
      <c r="D38" s="54">
        <v>12427088608</v>
      </c>
      <c r="E38" s="54" t="s">
        <v>81</v>
      </c>
      <c r="F38" s="79" t="s">
        <v>16</v>
      </c>
      <c r="G38" s="85" t="s">
        <v>85</v>
      </c>
      <c r="H38" s="85">
        <v>5</v>
      </c>
      <c r="I38" s="85">
        <v>5</v>
      </c>
      <c r="J38" s="12">
        <v>3</v>
      </c>
      <c r="K38" s="12">
        <v>3</v>
      </c>
      <c r="L38" s="12">
        <v>2</v>
      </c>
      <c r="M38" s="12">
        <v>3</v>
      </c>
      <c r="N38" s="12">
        <v>3</v>
      </c>
      <c r="O38" s="85" t="s">
        <v>85</v>
      </c>
      <c r="P38" s="85" t="s">
        <v>85</v>
      </c>
      <c r="Q38" s="12" t="s">
        <v>85</v>
      </c>
      <c r="R38" s="12" t="s">
        <v>85</v>
      </c>
      <c r="S38" s="12" t="s">
        <v>85</v>
      </c>
      <c r="T38" s="12" t="s">
        <v>85</v>
      </c>
      <c r="U38" s="12" t="s">
        <v>85</v>
      </c>
      <c r="V38" s="85">
        <v>5</v>
      </c>
      <c r="W38" s="85">
        <v>5</v>
      </c>
      <c r="X38" s="12">
        <v>2</v>
      </c>
      <c r="Y38" s="85" t="s">
        <v>85</v>
      </c>
      <c r="Z38" s="12">
        <v>3</v>
      </c>
      <c r="AA38" s="12">
        <v>3</v>
      </c>
      <c r="AB38" s="12">
        <v>3</v>
      </c>
      <c r="AC38" s="85" t="s">
        <v>85</v>
      </c>
      <c r="AD38" s="85" t="s">
        <v>85</v>
      </c>
      <c r="AE38" s="85" t="s">
        <v>85</v>
      </c>
      <c r="AF38" s="85" t="s">
        <v>85</v>
      </c>
      <c r="AG38" s="85" t="s">
        <v>85</v>
      </c>
      <c r="AH38" s="85" t="s">
        <v>85</v>
      </c>
      <c r="AI38" s="85" t="s">
        <v>85</v>
      </c>
      <c r="AJ38" s="85" t="s">
        <v>85</v>
      </c>
      <c r="AK38" s="12"/>
      <c r="AL38" s="15">
        <f t="shared" si="1"/>
        <v>45</v>
      </c>
      <c r="AM38" s="16"/>
      <c r="AN38" s="16"/>
      <c r="AO38" s="78"/>
      <c r="AP38" s="5"/>
    </row>
    <row r="39" spans="1:42" s="32" customFormat="1" x14ac:dyDescent="0.25">
      <c r="A39" s="18">
        <v>33</v>
      </c>
      <c r="B39" s="19"/>
      <c r="C39" s="54">
        <v>125837</v>
      </c>
      <c r="D39" s="54">
        <v>23699201800</v>
      </c>
      <c r="E39" s="21" t="s">
        <v>82</v>
      </c>
      <c r="F39" s="79" t="s">
        <v>16</v>
      </c>
      <c r="G39" s="85" t="s">
        <v>85</v>
      </c>
      <c r="H39" s="85" t="s">
        <v>85</v>
      </c>
      <c r="I39" s="85" t="s">
        <v>85</v>
      </c>
      <c r="J39" s="12" t="s">
        <v>85</v>
      </c>
      <c r="K39" s="12" t="s">
        <v>85</v>
      </c>
      <c r="L39" s="12" t="s">
        <v>85</v>
      </c>
      <c r="M39" s="12" t="s">
        <v>85</v>
      </c>
      <c r="N39" s="12" t="s">
        <v>85</v>
      </c>
      <c r="O39" s="85">
        <v>5</v>
      </c>
      <c r="P39" s="85">
        <v>5</v>
      </c>
      <c r="Q39" s="12">
        <v>3</v>
      </c>
      <c r="R39" s="12">
        <v>4</v>
      </c>
      <c r="S39" s="12">
        <v>4</v>
      </c>
      <c r="T39" s="12">
        <v>4</v>
      </c>
      <c r="U39" s="12">
        <v>4</v>
      </c>
      <c r="V39" s="85" t="s">
        <v>85</v>
      </c>
      <c r="W39" s="85" t="s">
        <v>85</v>
      </c>
      <c r="X39" s="12" t="s">
        <v>85</v>
      </c>
      <c r="Y39" s="85" t="s">
        <v>85</v>
      </c>
      <c r="Z39" s="12" t="s">
        <v>85</v>
      </c>
      <c r="AA39" s="12" t="s">
        <v>85</v>
      </c>
      <c r="AB39" s="12" t="s">
        <v>85</v>
      </c>
      <c r="AC39" s="85">
        <v>5</v>
      </c>
      <c r="AD39" s="85">
        <v>5</v>
      </c>
      <c r="AE39" s="85">
        <v>3</v>
      </c>
      <c r="AF39" s="85">
        <v>3</v>
      </c>
      <c r="AG39" s="85" t="s">
        <v>85</v>
      </c>
      <c r="AH39" s="85" t="s">
        <v>85</v>
      </c>
      <c r="AI39" s="85" t="s">
        <v>85</v>
      </c>
      <c r="AJ39" s="85" t="s">
        <v>85</v>
      </c>
      <c r="AK39" s="12"/>
      <c r="AL39" s="15">
        <f t="shared" si="1"/>
        <v>45</v>
      </c>
      <c r="AM39" s="16"/>
      <c r="AN39" s="16"/>
      <c r="AO39" s="78"/>
      <c r="AP39" s="5"/>
    </row>
    <row r="40" spans="1:42" s="32" customFormat="1" x14ac:dyDescent="0.25">
      <c r="A40" s="18">
        <v>34</v>
      </c>
      <c r="B40" s="19"/>
      <c r="C40" s="75">
        <v>155043</v>
      </c>
      <c r="D40" s="54">
        <v>24637954178</v>
      </c>
      <c r="E40" s="21" t="s">
        <v>83</v>
      </c>
      <c r="F40" s="79" t="s">
        <v>16</v>
      </c>
      <c r="G40" s="85" t="s">
        <v>85</v>
      </c>
      <c r="H40" s="85" t="s">
        <v>85</v>
      </c>
      <c r="I40" s="85" t="s">
        <v>85</v>
      </c>
      <c r="J40" s="12" t="s">
        <v>85</v>
      </c>
      <c r="K40" s="12" t="s">
        <v>85</v>
      </c>
      <c r="L40" s="12" t="s">
        <v>85</v>
      </c>
      <c r="M40" s="12" t="s">
        <v>85</v>
      </c>
      <c r="N40" s="12" t="s">
        <v>85</v>
      </c>
      <c r="O40" s="85">
        <v>5</v>
      </c>
      <c r="P40" s="85">
        <v>5</v>
      </c>
      <c r="Q40" s="12">
        <v>3</v>
      </c>
      <c r="R40" s="12">
        <v>4</v>
      </c>
      <c r="S40" s="12">
        <v>4</v>
      </c>
      <c r="T40" s="12">
        <v>4</v>
      </c>
      <c r="U40" s="12">
        <v>4</v>
      </c>
      <c r="V40" s="85" t="s">
        <v>85</v>
      </c>
      <c r="W40" s="85" t="s">
        <v>85</v>
      </c>
      <c r="X40" s="12" t="s">
        <v>85</v>
      </c>
      <c r="Y40" s="85" t="s">
        <v>85</v>
      </c>
      <c r="Z40" s="12" t="s">
        <v>85</v>
      </c>
      <c r="AA40" s="12" t="s">
        <v>85</v>
      </c>
      <c r="AB40" s="12" t="s">
        <v>85</v>
      </c>
      <c r="AC40" s="85">
        <v>5</v>
      </c>
      <c r="AD40" s="85">
        <v>5</v>
      </c>
      <c r="AE40" s="85">
        <v>3</v>
      </c>
      <c r="AF40" s="85">
        <v>3</v>
      </c>
      <c r="AG40" s="85" t="s">
        <v>85</v>
      </c>
      <c r="AH40" s="85" t="s">
        <v>85</v>
      </c>
      <c r="AI40" s="85" t="s">
        <v>85</v>
      </c>
      <c r="AJ40" s="85" t="s">
        <v>85</v>
      </c>
      <c r="AK40" s="12"/>
      <c r="AL40" s="15">
        <f t="shared" si="1"/>
        <v>45</v>
      </c>
      <c r="AM40" s="16"/>
      <c r="AN40" s="16"/>
      <c r="AO40" s="78"/>
      <c r="AP40" s="5"/>
    </row>
    <row r="41" spans="1:42" s="32" customFormat="1" x14ac:dyDescent="0.25">
      <c r="A41" s="18">
        <v>35</v>
      </c>
      <c r="B41" s="19"/>
      <c r="C41" s="75">
        <v>116479</v>
      </c>
      <c r="D41" s="54">
        <v>60505022976</v>
      </c>
      <c r="E41" s="21" t="s">
        <v>84</v>
      </c>
      <c r="F41" s="79" t="s">
        <v>16</v>
      </c>
      <c r="G41" s="85" t="s">
        <v>85</v>
      </c>
      <c r="H41" s="85">
        <v>5</v>
      </c>
      <c r="I41" s="85">
        <v>5</v>
      </c>
      <c r="J41" s="12">
        <v>3</v>
      </c>
      <c r="K41" s="12">
        <v>3</v>
      </c>
      <c r="L41" s="12">
        <v>2</v>
      </c>
      <c r="M41" s="12">
        <v>3</v>
      </c>
      <c r="N41" s="12">
        <v>3</v>
      </c>
      <c r="O41" s="85" t="s">
        <v>85</v>
      </c>
      <c r="P41" s="85" t="s">
        <v>85</v>
      </c>
      <c r="Q41" s="12" t="s">
        <v>85</v>
      </c>
      <c r="R41" s="12" t="s">
        <v>85</v>
      </c>
      <c r="S41" s="12" t="s">
        <v>85</v>
      </c>
      <c r="T41" s="12" t="s">
        <v>85</v>
      </c>
      <c r="U41" s="12" t="s">
        <v>85</v>
      </c>
      <c r="V41" s="85">
        <v>5</v>
      </c>
      <c r="W41" s="85">
        <v>5</v>
      </c>
      <c r="X41" s="12">
        <v>2</v>
      </c>
      <c r="Y41" s="85" t="s">
        <v>85</v>
      </c>
      <c r="Z41" s="12">
        <v>3</v>
      </c>
      <c r="AA41" s="12">
        <v>3</v>
      </c>
      <c r="AB41" s="12">
        <v>3</v>
      </c>
      <c r="AC41" s="85" t="s">
        <v>85</v>
      </c>
      <c r="AD41" s="85" t="s">
        <v>85</v>
      </c>
      <c r="AE41" s="85" t="s">
        <v>85</v>
      </c>
      <c r="AF41" s="85" t="s">
        <v>85</v>
      </c>
      <c r="AG41" s="85" t="s">
        <v>85</v>
      </c>
      <c r="AH41" s="85" t="s">
        <v>85</v>
      </c>
      <c r="AI41" s="85" t="s">
        <v>85</v>
      </c>
      <c r="AJ41" s="85" t="s">
        <v>85</v>
      </c>
      <c r="AK41" s="12"/>
      <c r="AL41" s="15">
        <f t="shared" si="1"/>
        <v>45</v>
      </c>
      <c r="AM41" s="16"/>
      <c r="AN41" s="16"/>
      <c r="AO41" s="78"/>
      <c r="AP41" s="5"/>
    </row>
    <row r="42" spans="1:42" s="32" customFormat="1" x14ac:dyDescent="0.25">
      <c r="A42" s="18">
        <v>36</v>
      </c>
      <c r="B42" s="19"/>
      <c r="C42" s="75">
        <v>304750</v>
      </c>
      <c r="D42" s="54">
        <v>39448100010</v>
      </c>
      <c r="E42" s="21" t="s">
        <v>88</v>
      </c>
      <c r="F42" s="79" t="s">
        <v>16</v>
      </c>
      <c r="G42" s="85" t="s">
        <v>85</v>
      </c>
      <c r="H42" s="85" t="s">
        <v>85</v>
      </c>
      <c r="I42" s="85" t="s">
        <v>85</v>
      </c>
      <c r="J42" s="12">
        <v>3</v>
      </c>
      <c r="K42" s="12">
        <v>3</v>
      </c>
      <c r="L42" s="12">
        <v>3</v>
      </c>
      <c r="M42" s="12">
        <v>3</v>
      </c>
      <c r="N42" s="12">
        <v>3</v>
      </c>
      <c r="O42" s="85" t="s">
        <v>85</v>
      </c>
      <c r="P42" s="85" t="s">
        <v>85</v>
      </c>
      <c r="Q42" s="12">
        <v>3</v>
      </c>
      <c r="R42" s="12">
        <v>3</v>
      </c>
      <c r="S42" s="12">
        <v>3</v>
      </c>
      <c r="T42" s="12">
        <v>3</v>
      </c>
      <c r="U42" s="12">
        <v>3</v>
      </c>
      <c r="V42" s="85" t="s">
        <v>85</v>
      </c>
      <c r="W42" s="85">
        <v>5</v>
      </c>
      <c r="X42" s="12">
        <v>2</v>
      </c>
      <c r="Y42" s="85" t="s">
        <v>85</v>
      </c>
      <c r="Z42" s="12">
        <v>2</v>
      </c>
      <c r="AA42" s="12">
        <v>3</v>
      </c>
      <c r="AB42" s="12">
        <v>3</v>
      </c>
      <c r="AC42" s="85" t="s">
        <v>85</v>
      </c>
      <c r="AD42" s="85" t="s">
        <v>85</v>
      </c>
      <c r="AE42" s="85" t="s">
        <v>85</v>
      </c>
      <c r="AF42" s="85" t="s">
        <v>85</v>
      </c>
      <c r="AG42" s="85" t="s">
        <v>85</v>
      </c>
      <c r="AH42" s="85" t="s">
        <v>85</v>
      </c>
      <c r="AI42" s="85" t="s">
        <v>85</v>
      </c>
      <c r="AJ42" s="85" t="s">
        <v>85</v>
      </c>
      <c r="AK42" s="12"/>
      <c r="AL42" s="15">
        <f t="shared" si="1"/>
        <v>45</v>
      </c>
      <c r="AM42" s="16"/>
      <c r="AN42" s="16"/>
      <c r="AO42" s="78"/>
      <c r="AP42" s="5"/>
    </row>
    <row r="43" spans="1:42" s="32" customFormat="1" x14ac:dyDescent="0.25">
      <c r="A43" s="18">
        <v>37</v>
      </c>
      <c r="B43" s="19"/>
      <c r="C43" s="75">
        <v>284914</v>
      </c>
      <c r="D43" s="54">
        <v>73768061132</v>
      </c>
      <c r="E43" s="21" t="s">
        <v>92</v>
      </c>
      <c r="F43" s="79" t="s">
        <v>31</v>
      </c>
      <c r="G43" s="85" t="s">
        <v>85</v>
      </c>
      <c r="H43" s="85" t="s">
        <v>85</v>
      </c>
      <c r="I43" s="85" t="s">
        <v>85</v>
      </c>
      <c r="J43" s="12">
        <v>3</v>
      </c>
      <c r="K43" s="12">
        <v>3</v>
      </c>
      <c r="L43" s="12">
        <v>2</v>
      </c>
      <c r="M43" s="12">
        <v>3</v>
      </c>
      <c r="N43" s="12">
        <v>2</v>
      </c>
      <c r="O43" s="85">
        <v>5</v>
      </c>
      <c r="P43" s="85">
        <v>5</v>
      </c>
      <c r="Q43" s="12">
        <v>3</v>
      </c>
      <c r="R43" s="12">
        <v>2</v>
      </c>
      <c r="S43" s="12">
        <v>3</v>
      </c>
      <c r="T43" s="12">
        <v>3</v>
      </c>
      <c r="U43" s="12">
        <v>3</v>
      </c>
      <c r="V43" s="85" t="s">
        <v>85</v>
      </c>
      <c r="W43" s="85">
        <v>5</v>
      </c>
      <c r="X43" s="12">
        <v>3</v>
      </c>
      <c r="Y43" s="85" t="s">
        <v>85</v>
      </c>
      <c r="Z43" s="12" t="s">
        <v>85</v>
      </c>
      <c r="AA43" s="12" t="s">
        <v>85</v>
      </c>
      <c r="AB43" s="12" t="s">
        <v>85</v>
      </c>
      <c r="AC43" s="85" t="s">
        <v>85</v>
      </c>
      <c r="AD43" s="85" t="s">
        <v>85</v>
      </c>
      <c r="AE43" s="85" t="s">
        <v>85</v>
      </c>
      <c r="AF43" s="85" t="s">
        <v>85</v>
      </c>
      <c r="AG43" s="85" t="s">
        <v>85</v>
      </c>
      <c r="AH43" s="85" t="s">
        <v>85</v>
      </c>
      <c r="AI43" s="85" t="s">
        <v>85</v>
      </c>
      <c r="AJ43" s="85" t="s">
        <v>85</v>
      </c>
      <c r="AK43" s="12"/>
      <c r="AL43" s="15">
        <f t="shared" si="1"/>
        <v>45</v>
      </c>
      <c r="AM43" s="16"/>
      <c r="AN43" s="16"/>
      <c r="AO43" s="78"/>
      <c r="AP43" s="5"/>
    </row>
    <row r="44" spans="1:42" s="32" customFormat="1" x14ac:dyDescent="0.25">
      <c r="A44" s="18">
        <v>38</v>
      </c>
      <c r="B44" s="19"/>
      <c r="C44" s="75">
        <v>210222</v>
      </c>
      <c r="D44" s="54">
        <v>10429440486</v>
      </c>
      <c r="E44" s="21" t="s">
        <v>75</v>
      </c>
      <c r="F44" s="20" t="s">
        <v>29</v>
      </c>
      <c r="G44" s="85" t="s">
        <v>85</v>
      </c>
      <c r="H44" s="85" t="s">
        <v>85</v>
      </c>
      <c r="I44" s="85" t="s">
        <v>85</v>
      </c>
      <c r="J44" s="12">
        <v>3</v>
      </c>
      <c r="K44" s="12">
        <v>3</v>
      </c>
      <c r="L44" s="12">
        <v>3</v>
      </c>
      <c r="M44" s="12">
        <v>3</v>
      </c>
      <c r="N44" s="12">
        <v>3</v>
      </c>
      <c r="O44" s="85" t="s">
        <v>85</v>
      </c>
      <c r="P44" s="85" t="s">
        <v>85</v>
      </c>
      <c r="Q44" s="12">
        <v>3</v>
      </c>
      <c r="R44" s="12">
        <v>3</v>
      </c>
      <c r="S44" s="12">
        <v>3</v>
      </c>
      <c r="T44" s="12">
        <v>2</v>
      </c>
      <c r="U44" s="12">
        <v>2</v>
      </c>
      <c r="V44" s="85" t="s">
        <v>85</v>
      </c>
      <c r="W44" s="85">
        <v>5</v>
      </c>
      <c r="X44" s="12">
        <v>3</v>
      </c>
      <c r="Y44" s="85" t="s">
        <v>85</v>
      </c>
      <c r="Z44" s="12">
        <v>3</v>
      </c>
      <c r="AA44" s="12">
        <v>3</v>
      </c>
      <c r="AB44" s="12">
        <v>3</v>
      </c>
      <c r="AC44" s="85" t="s">
        <v>85</v>
      </c>
      <c r="AD44" s="85" t="s">
        <v>85</v>
      </c>
      <c r="AE44" s="85" t="s">
        <v>85</v>
      </c>
      <c r="AF44" s="85" t="s">
        <v>85</v>
      </c>
      <c r="AG44" s="85" t="s">
        <v>85</v>
      </c>
      <c r="AH44" s="85" t="s">
        <v>85</v>
      </c>
      <c r="AI44" s="85" t="s">
        <v>85</v>
      </c>
      <c r="AJ44" s="85" t="s">
        <v>85</v>
      </c>
      <c r="AK44" s="12"/>
      <c r="AL44" s="15">
        <f t="shared" si="1"/>
        <v>45</v>
      </c>
      <c r="AM44" s="16"/>
      <c r="AN44" s="16"/>
      <c r="AO44" s="78">
        <f t="shared" si="0"/>
        <v>5</v>
      </c>
      <c r="AP44" s="5"/>
    </row>
    <row r="45" spans="1:42" s="32" customFormat="1" x14ac:dyDescent="0.25">
      <c r="A45" s="18">
        <v>39</v>
      </c>
      <c r="B45" s="19"/>
      <c r="C45" s="75">
        <v>229947</v>
      </c>
      <c r="D45" s="54">
        <v>25460594678</v>
      </c>
      <c r="E45" s="21" t="s">
        <v>76</v>
      </c>
      <c r="F45" s="20" t="s">
        <v>29</v>
      </c>
      <c r="G45" s="85" t="s">
        <v>85</v>
      </c>
      <c r="H45" s="85" t="s">
        <v>85</v>
      </c>
      <c r="I45" s="85">
        <v>5</v>
      </c>
      <c r="J45" s="12">
        <v>3</v>
      </c>
      <c r="K45" s="12">
        <v>3</v>
      </c>
      <c r="L45" s="12">
        <v>3</v>
      </c>
      <c r="M45" s="12">
        <v>3</v>
      </c>
      <c r="N45" s="12">
        <v>3</v>
      </c>
      <c r="O45" s="85">
        <v>5</v>
      </c>
      <c r="P45" s="85">
        <v>5</v>
      </c>
      <c r="Q45" s="12">
        <v>3</v>
      </c>
      <c r="R45" s="12">
        <v>3</v>
      </c>
      <c r="S45" s="12">
        <v>3</v>
      </c>
      <c r="T45" s="12">
        <v>3</v>
      </c>
      <c r="U45" s="12">
        <v>3</v>
      </c>
      <c r="V45" s="85" t="s">
        <v>85</v>
      </c>
      <c r="W45" s="85" t="s">
        <v>85</v>
      </c>
      <c r="X45" s="12" t="s">
        <v>85</v>
      </c>
      <c r="Y45" s="85" t="s">
        <v>85</v>
      </c>
      <c r="Z45" s="12" t="s">
        <v>85</v>
      </c>
      <c r="AA45" s="12" t="s">
        <v>85</v>
      </c>
      <c r="AB45" s="12" t="s">
        <v>85</v>
      </c>
      <c r="AC45" s="85" t="s">
        <v>85</v>
      </c>
      <c r="AD45" s="85" t="s">
        <v>85</v>
      </c>
      <c r="AE45" s="85" t="s">
        <v>85</v>
      </c>
      <c r="AF45" s="85" t="s">
        <v>85</v>
      </c>
      <c r="AG45" s="85" t="s">
        <v>85</v>
      </c>
      <c r="AH45" s="85" t="s">
        <v>85</v>
      </c>
      <c r="AI45" s="85" t="s">
        <v>85</v>
      </c>
      <c r="AJ45" s="85" t="s">
        <v>85</v>
      </c>
      <c r="AK45" s="12"/>
      <c r="AL45" s="15">
        <f t="shared" si="1"/>
        <v>45</v>
      </c>
      <c r="AM45" s="16"/>
      <c r="AN45" s="16"/>
      <c r="AO45" s="78">
        <f t="shared" si="0"/>
        <v>5</v>
      </c>
      <c r="AP45" s="5"/>
    </row>
    <row r="46" spans="1:42" s="32" customFormat="1" x14ac:dyDescent="0.25">
      <c r="A46" s="9"/>
      <c r="B46" s="90"/>
      <c r="C46" s="109" t="s">
        <v>7</v>
      </c>
      <c r="D46" s="109"/>
      <c r="E46" s="109"/>
      <c r="F46" s="66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  <c r="AK46" s="110"/>
      <c r="AL46" s="110"/>
      <c r="AM46" s="110"/>
      <c r="AN46" s="110"/>
    </row>
    <row r="47" spans="1:42" s="32" customFormat="1" x14ac:dyDescent="0.25">
      <c r="A47" s="9"/>
      <c r="B47" s="90"/>
      <c r="C47" s="109" t="s">
        <v>8</v>
      </c>
      <c r="D47" s="109"/>
      <c r="E47" s="109"/>
      <c r="F47" s="66"/>
      <c r="G47" s="110" t="s">
        <v>21</v>
      </c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</row>
    <row r="48" spans="1:42" s="32" customFormat="1" x14ac:dyDescent="0.25">
      <c r="A48" s="55" t="s">
        <v>21</v>
      </c>
      <c r="B48" s="35" t="s">
        <v>21</v>
      </c>
      <c r="C48" s="35" t="s">
        <v>21</v>
      </c>
      <c r="D48" s="35" t="s">
        <v>21</v>
      </c>
      <c r="E48" s="36" t="s">
        <v>21</v>
      </c>
      <c r="F48" s="37"/>
      <c r="G48" s="94"/>
      <c r="H48" s="94"/>
      <c r="I48" s="94"/>
      <c r="J48" s="37"/>
      <c r="K48" s="111" t="s">
        <v>9</v>
      </c>
      <c r="L48" s="111"/>
      <c r="M48" s="111"/>
      <c r="N48" s="111"/>
      <c r="O48" s="111"/>
      <c r="P48" s="111"/>
      <c r="Q48" s="111"/>
      <c r="R48" s="111"/>
      <c r="S48" s="37"/>
      <c r="T48" s="37"/>
      <c r="U48" s="111"/>
      <c r="V48" s="111"/>
      <c r="W48" s="111"/>
      <c r="X48" s="111"/>
      <c r="Y48" s="111"/>
      <c r="Z48" s="111"/>
      <c r="AA48" s="111"/>
      <c r="AB48" s="111"/>
      <c r="AC48" s="87"/>
      <c r="AD48" s="94"/>
      <c r="AE48" s="112" t="s">
        <v>10</v>
      </c>
      <c r="AF48" s="112"/>
      <c r="AG48" s="112"/>
      <c r="AH48" s="112"/>
      <c r="AI48" s="112"/>
      <c r="AJ48" s="112"/>
      <c r="AK48" s="112"/>
      <c r="AL48" s="112"/>
      <c r="AM48" s="112"/>
      <c r="AN48" s="112"/>
    </row>
    <row r="49" spans="1:40" s="32" customFormat="1" x14ac:dyDescent="0.25">
      <c r="A49" s="55" t="s">
        <v>21</v>
      </c>
      <c r="B49" s="35" t="s">
        <v>21</v>
      </c>
      <c r="C49" s="35" t="s">
        <v>21</v>
      </c>
      <c r="D49" s="35" t="s">
        <v>21</v>
      </c>
      <c r="E49" s="38"/>
      <c r="F49" s="39"/>
      <c r="G49" s="113" t="s">
        <v>11</v>
      </c>
      <c r="H49" s="113"/>
      <c r="I49" s="113"/>
      <c r="J49" s="113"/>
      <c r="K49" s="111" t="s">
        <v>36</v>
      </c>
      <c r="L49" s="111"/>
      <c r="M49" s="111"/>
      <c r="N49" s="111"/>
      <c r="O49" s="111"/>
      <c r="P49" s="111"/>
      <c r="Q49" s="111"/>
      <c r="R49" s="111"/>
      <c r="S49" s="37"/>
      <c r="T49" s="37"/>
      <c r="U49" s="111"/>
      <c r="V49" s="111"/>
      <c r="W49" s="111"/>
      <c r="X49" s="111"/>
      <c r="Y49" s="111"/>
      <c r="Z49" s="111"/>
      <c r="AA49" s="111"/>
      <c r="AB49" s="111"/>
      <c r="AC49" s="94"/>
      <c r="AD49" s="94"/>
      <c r="AE49" s="114" t="s">
        <v>39</v>
      </c>
      <c r="AF49" s="114"/>
      <c r="AG49" s="114"/>
      <c r="AH49" s="114"/>
      <c r="AI49" s="114"/>
      <c r="AJ49" s="114"/>
      <c r="AK49" s="114"/>
      <c r="AL49" s="114"/>
      <c r="AM49" s="114"/>
      <c r="AN49" s="114"/>
    </row>
    <row r="50" spans="1:40" s="32" customFormat="1" x14ac:dyDescent="0.25">
      <c r="A50" s="55"/>
      <c r="B50" s="35"/>
      <c r="C50" s="35"/>
      <c r="D50" s="35"/>
      <c r="E50" s="38"/>
      <c r="F50" s="39"/>
      <c r="G50" s="113" t="s">
        <v>12</v>
      </c>
      <c r="H50" s="113"/>
      <c r="I50" s="113"/>
      <c r="J50" s="113"/>
      <c r="K50" s="111" t="s">
        <v>13</v>
      </c>
      <c r="L50" s="111"/>
      <c r="M50" s="111"/>
      <c r="N50" s="111"/>
      <c r="O50" s="111"/>
      <c r="P50" s="111"/>
      <c r="Q50" s="111"/>
      <c r="R50" s="111"/>
      <c r="S50" s="37"/>
      <c r="T50" s="37"/>
      <c r="U50" s="111"/>
      <c r="V50" s="111"/>
      <c r="W50" s="111"/>
      <c r="X50" s="111"/>
      <c r="Y50" s="111"/>
      <c r="Z50" s="111"/>
      <c r="AA50" s="111"/>
      <c r="AB50" s="111"/>
      <c r="AC50" s="98"/>
      <c r="AD50" s="98"/>
      <c r="AE50" s="114" t="s">
        <v>35</v>
      </c>
      <c r="AF50" s="114"/>
      <c r="AG50" s="114"/>
      <c r="AH50" s="114"/>
      <c r="AI50" s="114"/>
      <c r="AJ50" s="114"/>
      <c r="AK50" s="114"/>
      <c r="AL50" s="114"/>
      <c r="AM50" s="114"/>
      <c r="AN50" s="114"/>
    </row>
    <row r="51" spans="1:40" s="32" customFormat="1" x14ac:dyDescent="0.25">
      <c r="A51" s="55"/>
      <c r="B51" s="35"/>
      <c r="C51" s="35"/>
      <c r="D51" s="35"/>
      <c r="E51" s="38"/>
      <c r="F51" s="39"/>
      <c r="G51" s="113" t="s">
        <v>15</v>
      </c>
      <c r="H51" s="113"/>
      <c r="I51" s="113"/>
      <c r="J51" s="113"/>
      <c r="K51" s="30"/>
      <c r="L51" s="30"/>
      <c r="M51" s="30"/>
      <c r="N51" s="30"/>
      <c r="O51" s="96"/>
      <c r="P51" s="96"/>
      <c r="Q51" s="30"/>
      <c r="R51" s="30"/>
      <c r="S51" s="30"/>
      <c r="T51" s="30"/>
      <c r="U51" s="41"/>
      <c r="V51" s="97"/>
      <c r="W51" s="96"/>
      <c r="X51" s="30"/>
      <c r="Y51" s="96"/>
      <c r="Z51" s="30"/>
      <c r="AA51" s="30"/>
      <c r="AB51" s="30"/>
      <c r="AC51" s="96"/>
      <c r="AD51" s="96"/>
      <c r="AE51" s="96"/>
      <c r="AF51" s="97"/>
      <c r="AG51" s="97"/>
      <c r="AH51" s="97"/>
      <c r="AI51" s="97"/>
      <c r="AJ51" s="97"/>
      <c r="AK51" s="41"/>
      <c r="AL51" s="30"/>
      <c r="AM51" s="30"/>
      <c r="AN51" s="42"/>
    </row>
    <row r="52" spans="1:40" s="32" customFormat="1" x14ac:dyDescent="0.25">
      <c r="A52" s="43"/>
      <c r="B52" s="45"/>
      <c r="C52" s="46"/>
      <c r="D52" s="46"/>
      <c r="E52" s="47"/>
      <c r="F52" s="44"/>
      <c r="G52" s="95"/>
      <c r="H52" s="95"/>
      <c r="I52" s="95"/>
      <c r="J52" s="31"/>
      <c r="K52" s="31"/>
      <c r="L52" s="31"/>
      <c r="M52" s="31"/>
      <c r="N52" s="31"/>
      <c r="O52" s="95"/>
      <c r="P52" s="95"/>
      <c r="Q52" s="31"/>
      <c r="R52" s="31"/>
      <c r="S52" s="31"/>
      <c r="T52" s="31"/>
      <c r="U52" s="31"/>
      <c r="V52" s="95"/>
      <c r="W52" s="95"/>
      <c r="X52" s="31"/>
      <c r="Y52" s="95"/>
      <c r="Z52" s="31"/>
      <c r="AA52" s="31"/>
      <c r="AB52" s="31"/>
      <c r="AC52" s="95"/>
      <c r="AD52" s="95"/>
      <c r="AE52" s="95"/>
      <c r="AF52" s="95"/>
      <c r="AG52" s="95"/>
      <c r="AH52" s="95"/>
      <c r="AI52" s="95"/>
      <c r="AJ52" s="95"/>
      <c r="AK52" s="31"/>
      <c r="AL52" s="31"/>
      <c r="AM52" s="31"/>
      <c r="AN52" s="48"/>
    </row>
    <row r="54" spans="1:40" s="32" customFormat="1" x14ac:dyDescent="0.25">
      <c r="A54" s="67"/>
      <c r="B54" s="67"/>
      <c r="C54" s="68"/>
      <c r="D54" s="69"/>
      <c r="E54" s="68"/>
      <c r="F54" s="27"/>
      <c r="G54" s="86"/>
      <c r="H54" s="86"/>
      <c r="I54" s="86"/>
      <c r="J54" s="27"/>
      <c r="K54" s="27"/>
      <c r="O54" s="87"/>
      <c r="P54" s="87"/>
      <c r="V54" s="87"/>
      <c r="W54" s="87"/>
      <c r="Y54" s="87"/>
      <c r="AC54" s="87"/>
      <c r="AD54" s="87"/>
      <c r="AE54" s="87"/>
      <c r="AF54" s="87"/>
      <c r="AG54" s="87"/>
      <c r="AH54" s="87"/>
      <c r="AI54" s="87"/>
      <c r="AJ54" s="87"/>
    </row>
    <row r="1352" spans="1:36" s="32" customFormat="1" x14ac:dyDescent="0.25">
      <c r="A1352" s="67"/>
      <c r="B1352" s="67"/>
      <c r="C1352" s="69"/>
      <c r="D1352" s="69"/>
      <c r="E1352" s="69"/>
      <c r="F1352" s="67"/>
      <c r="G1352" s="87"/>
      <c r="H1352" s="87"/>
      <c r="I1352" s="87"/>
      <c r="O1352" s="87"/>
      <c r="P1352" s="87"/>
      <c r="U1352" s="32" t="s">
        <v>91</v>
      </c>
      <c r="V1352" s="87"/>
      <c r="W1352" s="87"/>
      <c r="Y1352" s="87"/>
      <c r="AC1352" s="87"/>
      <c r="AD1352" s="87"/>
      <c r="AE1352" s="87"/>
      <c r="AF1352" s="87"/>
      <c r="AG1352" s="87"/>
      <c r="AH1352" s="87"/>
      <c r="AI1352" s="87"/>
      <c r="AJ1352" s="87"/>
    </row>
  </sheetData>
  <mergeCells count="24">
    <mergeCell ref="G50:J50"/>
    <mergeCell ref="K50:R50"/>
    <mergeCell ref="U50:AB50"/>
    <mergeCell ref="AE50:AN50"/>
    <mergeCell ref="G51:J51"/>
    <mergeCell ref="K48:R48"/>
    <mergeCell ref="U48:AB48"/>
    <mergeCell ref="AE48:AN48"/>
    <mergeCell ref="G49:J49"/>
    <mergeCell ref="K49:R49"/>
    <mergeCell ref="U49:AB49"/>
    <mergeCell ref="AE49:AN49"/>
    <mergeCell ref="A6:D6"/>
    <mergeCell ref="G6:AK6"/>
    <mergeCell ref="C46:E46"/>
    <mergeCell ref="G46:AN46"/>
    <mergeCell ref="C47:E47"/>
    <mergeCell ref="G47:AN47"/>
    <mergeCell ref="A1:AN2"/>
    <mergeCell ref="A4:B5"/>
    <mergeCell ref="C4:E4"/>
    <mergeCell ref="G4:AK5"/>
    <mergeCell ref="AL4:AN5"/>
    <mergeCell ref="C5:E5"/>
  </mergeCells>
  <printOptions horizontalCentered="1"/>
  <pageMargins left="0" right="0" top="0.31496062992125984" bottom="0.27559055118110237" header="0.51181102362204722" footer="0.51181102362204722"/>
  <pageSetup paperSize="9" scale="70" firstPageNumber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DE6B-F3AB-477C-9DF9-8A76F3B8C2C8}">
  <dimension ref="A1:IS1353"/>
  <sheetViews>
    <sheetView topLeftCell="A4" zoomScale="130" zoomScaleNormal="130" workbookViewId="0">
      <pane xSplit="6" ySplit="4" topLeftCell="G8" activePane="bottomRight" state="frozen"/>
      <selection activeCell="A4" sqref="A4"/>
      <selection pane="topRight" activeCell="H4" sqref="H4"/>
      <selection pane="bottomLeft" activeCell="A9" sqref="A9"/>
      <selection pane="bottomRight" activeCell="E32" sqref="E32"/>
    </sheetView>
  </sheetViews>
  <sheetFormatPr defaultRowHeight="15" x14ac:dyDescent="0.25"/>
  <cols>
    <col min="1" max="1" width="7.28515625" style="67" customWidth="1"/>
    <col min="2" max="2" width="3" style="67" hidden="1" customWidth="1"/>
    <col min="3" max="3" width="10.42578125" style="69" customWidth="1"/>
    <col min="4" max="4" width="14.140625" style="69" customWidth="1"/>
    <col min="5" max="5" width="24.7109375" style="69" customWidth="1"/>
    <col min="6" max="6" width="18" style="67" customWidth="1"/>
    <col min="7" max="9" width="3.42578125" style="32" customWidth="1"/>
    <col min="10" max="11" width="3.42578125" style="87" customWidth="1"/>
    <col min="12" max="16" width="3.42578125" style="32" customWidth="1"/>
    <col min="17" max="18" width="3.42578125" style="87" customWidth="1"/>
    <col min="19" max="23" width="3.42578125" style="32" customWidth="1"/>
    <col min="24" max="25" width="3.42578125" style="87" customWidth="1"/>
    <col min="26" max="28" width="3.42578125" style="32" customWidth="1"/>
    <col min="29" max="29" width="3.42578125" style="87" customWidth="1"/>
    <col min="30" max="30" width="3.42578125" style="32" customWidth="1"/>
    <col min="31" max="32" width="3.42578125" style="87" customWidth="1"/>
    <col min="33" max="37" width="3.42578125" style="32" customWidth="1"/>
    <col min="38" max="253" width="8.140625" style="32" customWidth="1"/>
    <col min="254" max="1021" width="8.5703125" style="5" customWidth="1"/>
    <col min="1022" max="16384" width="9.140625" style="5"/>
  </cols>
  <sheetData>
    <row r="1" spans="1:42" ht="15.75" customHeight="1" x14ac:dyDescent="0.25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</row>
    <row r="2" spans="1:42" x14ac:dyDescent="0.25">
      <c r="A2" s="100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</row>
    <row r="3" spans="1:42" x14ac:dyDescent="0.25">
      <c r="A3" s="56"/>
      <c r="B3" s="58"/>
      <c r="C3" s="59"/>
      <c r="D3" s="59"/>
      <c r="E3" s="60"/>
      <c r="F3" s="61"/>
      <c r="G3" s="29"/>
      <c r="H3" s="29"/>
      <c r="I3" s="29"/>
      <c r="J3" s="83"/>
      <c r="K3" s="83"/>
      <c r="L3" s="29"/>
      <c r="M3" s="29"/>
      <c r="N3" s="29"/>
      <c r="O3" s="29"/>
      <c r="P3" s="29"/>
      <c r="Q3" s="83"/>
      <c r="R3" s="83"/>
      <c r="S3" s="29"/>
      <c r="T3" s="29"/>
      <c r="U3" s="29"/>
      <c r="V3" s="29"/>
      <c r="W3" s="29"/>
      <c r="X3" s="83"/>
      <c r="Y3" s="83"/>
      <c r="Z3" s="29"/>
      <c r="AA3" s="29"/>
      <c r="AB3" s="29"/>
      <c r="AC3" s="83"/>
      <c r="AD3" s="29"/>
      <c r="AE3" s="83"/>
      <c r="AF3" s="83"/>
      <c r="AG3" s="29"/>
      <c r="AH3" s="29"/>
      <c r="AI3" s="29"/>
      <c r="AJ3" s="29"/>
      <c r="AK3" s="29"/>
      <c r="AL3" s="29"/>
      <c r="AM3" s="29"/>
      <c r="AN3" s="77"/>
    </row>
    <row r="4" spans="1:42" ht="24" customHeight="1" x14ac:dyDescent="0.25">
      <c r="A4" s="101" t="s">
        <v>17</v>
      </c>
      <c r="B4" s="101"/>
      <c r="C4" s="102" t="s">
        <v>0</v>
      </c>
      <c r="D4" s="102"/>
      <c r="E4" s="102"/>
      <c r="F4" s="62"/>
      <c r="G4" s="103" t="s">
        <v>34</v>
      </c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5"/>
      <c r="AM4" s="105"/>
      <c r="AN4" s="105"/>
    </row>
    <row r="5" spans="1:42" ht="15.75" customHeight="1" x14ac:dyDescent="0.25">
      <c r="A5" s="101"/>
      <c r="B5" s="101"/>
      <c r="C5" s="106" t="s">
        <v>38</v>
      </c>
      <c r="D5" s="106"/>
      <c r="E5" s="106"/>
      <c r="F5" s="63" t="s">
        <v>21</v>
      </c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5"/>
      <c r="AM5" s="105"/>
      <c r="AN5" s="105"/>
    </row>
    <row r="6" spans="1:42" ht="27" customHeight="1" x14ac:dyDescent="0.25">
      <c r="A6" s="107" t="s">
        <v>41</v>
      </c>
      <c r="B6" s="107"/>
      <c r="C6" s="107"/>
      <c r="D6" s="107"/>
      <c r="E6" s="64" t="s">
        <v>90</v>
      </c>
      <c r="F6" s="82">
        <v>2026</v>
      </c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65"/>
      <c r="AM6" s="65"/>
      <c r="AN6" s="65"/>
    </row>
    <row r="7" spans="1:42" ht="25.5" x14ac:dyDescent="0.25">
      <c r="A7" s="9" t="s">
        <v>1</v>
      </c>
      <c r="B7" s="23"/>
      <c r="C7" s="49" t="s">
        <v>20</v>
      </c>
      <c r="D7" s="50" t="s">
        <v>37</v>
      </c>
      <c r="E7" s="24" t="s">
        <v>18</v>
      </c>
      <c r="F7" s="22" t="s">
        <v>3</v>
      </c>
      <c r="G7" s="22">
        <v>1</v>
      </c>
      <c r="H7" s="22">
        <v>2</v>
      </c>
      <c r="I7" s="22">
        <v>3</v>
      </c>
      <c r="J7" s="84">
        <v>4</v>
      </c>
      <c r="K7" s="84">
        <v>5</v>
      </c>
      <c r="L7" s="22">
        <v>6</v>
      </c>
      <c r="M7" s="22">
        <v>7</v>
      </c>
      <c r="N7" s="22">
        <v>8</v>
      </c>
      <c r="O7" s="22">
        <v>9</v>
      </c>
      <c r="P7" s="22">
        <v>10</v>
      </c>
      <c r="Q7" s="84">
        <v>11</v>
      </c>
      <c r="R7" s="84">
        <v>12</v>
      </c>
      <c r="S7" s="22">
        <v>13</v>
      </c>
      <c r="T7" s="22">
        <v>14</v>
      </c>
      <c r="U7" s="22">
        <v>15</v>
      </c>
      <c r="V7" s="22">
        <v>16</v>
      </c>
      <c r="W7" s="22">
        <v>17</v>
      </c>
      <c r="X7" s="84">
        <v>18</v>
      </c>
      <c r="Y7" s="84">
        <v>19</v>
      </c>
      <c r="Z7" s="22">
        <v>20</v>
      </c>
      <c r="AA7" s="22">
        <v>21</v>
      </c>
      <c r="AB7" s="22">
        <v>22</v>
      </c>
      <c r="AC7" s="84">
        <v>23</v>
      </c>
      <c r="AD7" s="22">
        <v>24</v>
      </c>
      <c r="AE7" s="84">
        <v>25</v>
      </c>
      <c r="AF7" s="84">
        <v>26</v>
      </c>
      <c r="AG7" s="22">
        <v>27</v>
      </c>
      <c r="AH7" s="22">
        <v>28</v>
      </c>
      <c r="AI7" s="22">
        <v>29</v>
      </c>
      <c r="AJ7" s="22">
        <v>30</v>
      </c>
      <c r="AK7" s="22"/>
      <c r="AL7" s="89" t="s">
        <v>4</v>
      </c>
      <c r="AM7" s="89" t="s">
        <v>5</v>
      </c>
      <c r="AN7" s="89" t="s">
        <v>6</v>
      </c>
    </row>
    <row r="8" spans="1:42" x14ac:dyDescent="0.25">
      <c r="A8" s="18">
        <v>1</v>
      </c>
      <c r="B8" s="18"/>
      <c r="C8" s="51">
        <v>95738</v>
      </c>
      <c r="D8" s="52" t="s">
        <v>73</v>
      </c>
      <c r="E8" s="25" t="s">
        <v>74</v>
      </c>
      <c r="F8" s="20" t="s">
        <v>30</v>
      </c>
      <c r="G8" s="12">
        <v>2</v>
      </c>
      <c r="H8" s="12">
        <v>2</v>
      </c>
      <c r="I8" s="12">
        <v>2</v>
      </c>
      <c r="J8" s="85" t="s">
        <v>85</v>
      </c>
      <c r="K8" s="85" t="s">
        <v>85</v>
      </c>
      <c r="L8" s="12">
        <v>2</v>
      </c>
      <c r="M8" s="12">
        <v>2</v>
      </c>
      <c r="N8" s="12">
        <v>2</v>
      </c>
      <c r="O8" s="12">
        <v>2</v>
      </c>
      <c r="P8" s="12">
        <v>2</v>
      </c>
      <c r="Q8" s="85" t="s">
        <v>85</v>
      </c>
      <c r="R8" s="85" t="s">
        <v>85</v>
      </c>
      <c r="S8" s="12">
        <v>2</v>
      </c>
      <c r="T8" s="12">
        <v>2</v>
      </c>
      <c r="U8" s="12">
        <v>2</v>
      </c>
      <c r="V8" s="12">
        <v>2</v>
      </c>
      <c r="W8" s="12">
        <v>2</v>
      </c>
      <c r="X8" s="85" t="s">
        <v>85</v>
      </c>
      <c r="Y8" s="85" t="s">
        <v>85</v>
      </c>
      <c r="Z8" s="12">
        <v>2</v>
      </c>
      <c r="AA8" s="12">
        <v>3</v>
      </c>
      <c r="AB8" s="12">
        <v>3</v>
      </c>
      <c r="AC8" s="85" t="s">
        <v>85</v>
      </c>
      <c r="AD8" s="12">
        <v>3</v>
      </c>
      <c r="AE8" s="85" t="s">
        <v>85</v>
      </c>
      <c r="AF8" s="85" t="s">
        <v>85</v>
      </c>
      <c r="AG8" s="12">
        <v>2</v>
      </c>
      <c r="AH8" s="12">
        <v>3</v>
      </c>
      <c r="AI8" s="12">
        <v>3</v>
      </c>
      <c r="AJ8" s="12" t="s">
        <v>85</v>
      </c>
      <c r="AK8" s="12"/>
      <c r="AL8" s="15">
        <f>SUM(G8:AK8)</f>
        <v>45</v>
      </c>
      <c r="AM8" s="89"/>
      <c r="AN8" s="89"/>
      <c r="AO8" s="78">
        <f t="shared" ref="AO8:AO46" si="0">50-AL8</f>
        <v>5</v>
      </c>
    </row>
    <row r="9" spans="1:42" x14ac:dyDescent="0.25">
      <c r="A9" s="18">
        <v>2</v>
      </c>
      <c r="B9" s="19"/>
      <c r="C9" s="53">
        <v>292687</v>
      </c>
      <c r="D9" s="54">
        <v>17780206102</v>
      </c>
      <c r="E9" s="21" t="s">
        <v>42</v>
      </c>
      <c r="F9" s="20" t="s">
        <v>16</v>
      </c>
      <c r="G9" s="12">
        <v>2</v>
      </c>
      <c r="H9" s="12">
        <v>2</v>
      </c>
      <c r="I9" s="12">
        <v>2</v>
      </c>
      <c r="J9" s="85" t="s">
        <v>85</v>
      </c>
      <c r="K9" s="85" t="s">
        <v>85</v>
      </c>
      <c r="L9" s="12">
        <v>2</v>
      </c>
      <c r="M9" s="12">
        <v>2</v>
      </c>
      <c r="N9" s="12">
        <v>2</v>
      </c>
      <c r="O9" s="12">
        <v>2</v>
      </c>
      <c r="P9" s="12">
        <v>2</v>
      </c>
      <c r="Q9" s="85" t="s">
        <v>85</v>
      </c>
      <c r="R9" s="85" t="s">
        <v>85</v>
      </c>
      <c r="S9" s="12">
        <v>2</v>
      </c>
      <c r="T9" s="12">
        <v>2</v>
      </c>
      <c r="U9" s="12">
        <v>2</v>
      </c>
      <c r="V9" s="12">
        <v>2</v>
      </c>
      <c r="W9" s="12">
        <v>2</v>
      </c>
      <c r="X9" s="85" t="s">
        <v>85</v>
      </c>
      <c r="Y9" s="85" t="s">
        <v>85</v>
      </c>
      <c r="Z9" s="12">
        <v>2</v>
      </c>
      <c r="AA9" s="12">
        <v>3</v>
      </c>
      <c r="AB9" s="12">
        <v>3</v>
      </c>
      <c r="AC9" s="85" t="s">
        <v>85</v>
      </c>
      <c r="AD9" s="12">
        <v>3</v>
      </c>
      <c r="AE9" s="85" t="s">
        <v>85</v>
      </c>
      <c r="AF9" s="85" t="s">
        <v>85</v>
      </c>
      <c r="AG9" s="12">
        <v>2</v>
      </c>
      <c r="AH9" s="12">
        <v>2</v>
      </c>
      <c r="AI9" s="12">
        <v>2</v>
      </c>
      <c r="AJ9" s="12">
        <v>2</v>
      </c>
      <c r="AK9" s="12"/>
      <c r="AL9" s="15">
        <f t="shared" ref="AL9:AL46" si="1">SUM(G9:AK9)</f>
        <v>45</v>
      </c>
      <c r="AM9" s="16"/>
      <c r="AN9" s="16"/>
      <c r="AO9" s="78">
        <f t="shared" si="0"/>
        <v>5</v>
      </c>
      <c r="AP9" s="5"/>
    </row>
    <row r="10" spans="1:42" x14ac:dyDescent="0.25">
      <c r="A10" s="18">
        <v>3</v>
      </c>
      <c r="B10" s="19"/>
      <c r="C10" s="53">
        <v>304066</v>
      </c>
      <c r="D10" s="28">
        <v>13435205384</v>
      </c>
      <c r="E10" s="21" t="s">
        <v>43</v>
      </c>
      <c r="F10" s="20" t="s">
        <v>16</v>
      </c>
      <c r="G10" s="12" t="s">
        <v>85</v>
      </c>
      <c r="H10" s="12" t="s">
        <v>85</v>
      </c>
      <c r="I10" s="12" t="s">
        <v>85</v>
      </c>
      <c r="J10" s="85" t="s">
        <v>85</v>
      </c>
      <c r="K10" s="85" t="s">
        <v>85</v>
      </c>
      <c r="L10" s="12">
        <v>2</v>
      </c>
      <c r="M10" s="12">
        <v>2</v>
      </c>
      <c r="N10" s="12">
        <v>2</v>
      </c>
      <c r="O10" s="12">
        <v>2</v>
      </c>
      <c r="P10" s="12">
        <v>2</v>
      </c>
      <c r="Q10" s="85" t="s">
        <v>85</v>
      </c>
      <c r="R10" s="85" t="s">
        <v>85</v>
      </c>
      <c r="S10" s="12">
        <v>2</v>
      </c>
      <c r="T10" s="12">
        <v>2</v>
      </c>
      <c r="U10" s="12">
        <v>2</v>
      </c>
      <c r="V10" s="12">
        <v>3</v>
      </c>
      <c r="W10" s="12">
        <v>3</v>
      </c>
      <c r="X10" s="85" t="s">
        <v>85</v>
      </c>
      <c r="Y10" s="85" t="s">
        <v>85</v>
      </c>
      <c r="Z10" s="12">
        <v>2</v>
      </c>
      <c r="AA10" s="12">
        <v>3</v>
      </c>
      <c r="AB10" s="12">
        <v>3</v>
      </c>
      <c r="AC10" s="85" t="s">
        <v>85</v>
      </c>
      <c r="AD10" s="12">
        <v>3</v>
      </c>
      <c r="AE10" s="85" t="s">
        <v>85</v>
      </c>
      <c r="AF10" s="85" t="s">
        <v>85</v>
      </c>
      <c r="AG10" s="12">
        <v>3</v>
      </c>
      <c r="AH10" s="12">
        <v>3</v>
      </c>
      <c r="AI10" s="12">
        <v>3</v>
      </c>
      <c r="AJ10" s="12">
        <v>3</v>
      </c>
      <c r="AK10" s="12"/>
      <c r="AL10" s="15">
        <f t="shared" si="1"/>
        <v>45</v>
      </c>
      <c r="AM10" s="16"/>
      <c r="AN10" s="16"/>
      <c r="AO10" s="78">
        <f t="shared" si="0"/>
        <v>5</v>
      </c>
      <c r="AP10" s="5"/>
    </row>
    <row r="11" spans="1:42" x14ac:dyDescent="0.25">
      <c r="A11" s="18">
        <v>4</v>
      </c>
      <c r="B11" s="19"/>
      <c r="C11" s="53">
        <v>287485</v>
      </c>
      <c r="D11" s="54">
        <v>36779025470</v>
      </c>
      <c r="E11" s="21" t="s">
        <v>44</v>
      </c>
      <c r="F11" s="20" t="s">
        <v>16</v>
      </c>
      <c r="G11" s="12">
        <v>2</v>
      </c>
      <c r="H11" s="12">
        <v>2</v>
      </c>
      <c r="I11" s="12">
        <v>2</v>
      </c>
      <c r="J11" s="85" t="s">
        <v>85</v>
      </c>
      <c r="K11" s="85" t="s">
        <v>85</v>
      </c>
      <c r="L11" s="12">
        <v>2</v>
      </c>
      <c r="M11" s="12">
        <v>2</v>
      </c>
      <c r="N11" s="12">
        <v>2</v>
      </c>
      <c r="O11" s="12">
        <v>2</v>
      </c>
      <c r="P11" s="12">
        <v>2</v>
      </c>
      <c r="Q11" s="85" t="s">
        <v>85</v>
      </c>
      <c r="R11" s="85" t="s">
        <v>85</v>
      </c>
      <c r="S11" s="12">
        <v>2</v>
      </c>
      <c r="T11" s="12">
        <v>2</v>
      </c>
      <c r="U11" s="12">
        <v>2</v>
      </c>
      <c r="V11" s="12">
        <v>2</v>
      </c>
      <c r="W11" s="12">
        <v>2</v>
      </c>
      <c r="X11" s="85" t="s">
        <v>85</v>
      </c>
      <c r="Y11" s="85" t="s">
        <v>85</v>
      </c>
      <c r="Z11" s="12">
        <v>2</v>
      </c>
      <c r="AA11" s="12">
        <v>3</v>
      </c>
      <c r="AB11" s="12">
        <v>3</v>
      </c>
      <c r="AC11" s="85" t="s">
        <v>85</v>
      </c>
      <c r="AD11" s="12">
        <v>3</v>
      </c>
      <c r="AE11" s="85" t="s">
        <v>85</v>
      </c>
      <c r="AF11" s="85" t="s">
        <v>85</v>
      </c>
      <c r="AG11" s="12">
        <v>2</v>
      </c>
      <c r="AH11" s="12">
        <v>2</v>
      </c>
      <c r="AI11" s="12">
        <v>2</v>
      </c>
      <c r="AJ11" s="12">
        <v>2</v>
      </c>
      <c r="AK11" s="12"/>
      <c r="AL11" s="15">
        <f t="shared" si="1"/>
        <v>45</v>
      </c>
      <c r="AM11" s="16"/>
      <c r="AN11" s="16"/>
      <c r="AO11" s="78">
        <f t="shared" si="0"/>
        <v>5</v>
      </c>
      <c r="AP11" s="5"/>
    </row>
    <row r="12" spans="1:42" x14ac:dyDescent="0.25">
      <c r="A12" s="18">
        <v>5</v>
      </c>
      <c r="B12" s="19"/>
      <c r="C12" s="53">
        <v>287520</v>
      </c>
      <c r="D12" s="54">
        <v>47089654014</v>
      </c>
      <c r="E12" s="21" t="s">
        <v>45</v>
      </c>
      <c r="F12" s="20" t="s">
        <v>16</v>
      </c>
      <c r="G12" s="12">
        <v>3</v>
      </c>
      <c r="H12" s="12">
        <v>3</v>
      </c>
      <c r="I12" s="12">
        <v>3</v>
      </c>
      <c r="J12" s="85" t="s">
        <v>85</v>
      </c>
      <c r="K12" s="85" t="s">
        <v>85</v>
      </c>
      <c r="L12" s="12">
        <v>3</v>
      </c>
      <c r="M12" s="12">
        <v>3</v>
      </c>
      <c r="N12" s="12">
        <v>3</v>
      </c>
      <c r="O12" s="12" t="s">
        <v>85</v>
      </c>
      <c r="P12" s="12">
        <v>3</v>
      </c>
      <c r="Q12" s="85" t="s">
        <v>85</v>
      </c>
      <c r="R12" s="85" t="s">
        <v>85</v>
      </c>
      <c r="S12" s="12">
        <v>3</v>
      </c>
      <c r="T12" s="12">
        <v>3</v>
      </c>
      <c r="U12" s="12">
        <v>3</v>
      </c>
      <c r="V12" s="12">
        <v>3</v>
      </c>
      <c r="W12" s="12">
        <v>3</v>
      </c>
      <c r="X12" s="85" t="s">
        <v>85</v>
      </c>
      <c r="Y12" s="85" t="s">
        <v>85</v>
      </c>
      <c r="Z12" s="12" t="s">
        <v>85</v>
      </c>
      <c r="AA12" s="12" t="s">
        <v>85</v>
      </c>
      <c r="AB12" s="12" t="s">
        <v>85</v>
      </c>
      <c r="AC12" s="85" t="s">
        <v>85</v>
      </c>
      <c r="AD12" s="12" t="s">
        <v>85</v>
      </c>
      <c r="AE12" s="85" t="s">
        <v>85</v>
      </c>
      <c r="AF12" s="85" t="s">
        <v>85</v>
      </c>
      <c r="AG12" s="12">
        <v>3</v>
      </c>
      <c r="AH12" s="12">
        <v>2</v>
      </c>
      <c r="AI12" s="12">
        <v>2</v>
      </c>
      <c r="AJ12" s="12">
        <v>2</v>
      </c>
      <c r="AK12" s="12"/>
      <c r="AL12" s="15">
        <f t="shared" si="1"/>
        <v>45</v>
      </c>
      <c r="AM12" s="16"/>
      <c r="AN12" s="16"/>
      <c r="AO12" s="78">
        <f t="shared" si="0"/>
        <v>5</v>
      </c>
      <c r="AP12" s="5"/>
    </row>
    <row r="13" spans="1:42" x14ac:dyDescent="0.25">
      <c r="A13" s="18">
        <v>6</v>
      </c>
      <c r="B13" s="19"/>
      <c r="C13" s="53">
        <v>287385</v>
      </c>
      <c r="D13" s="54">
        <v>16145792892</v>
      </c>
      <c r="E13" s="21" t="s">
        <v>46</v>
      </c>
      <c r="F13" s="20" t="s">
        <v>16</v>
      </c>
      <c r="G13" s="12">
        <v>3</v>
      </c>
      <c r="H13" s="12">
        <v>3</v>
      </c>
      <c r="I13" s="12">
        <v>2</v>
      </c>
      <c r="J13" s="85" t="s">
        <v>85</v>
      </c>
      <c r="K13" s="85" t="s">
        <v>85</v>
      </c>
      <c r="L13" s="12">
        <v>3</v>
      </c>
      <c r="M13" s="12">
        <v>3</v>
      </c>
      <c r="N13" s="12">
        <v>3</v>
      </c>
      <c r="O13" s="12">
        <v>3</v>
      </c>
      <c r="P13" s="12">
        <v>3</v>
      </c>
      <c r="Q13" s="85" t="s">
        <v>85</v>
      </c>
      <c r="R13" s="85" t="s">
        <v>85</v>
      </c>
      <c r="S13" s="12">
        <v>3</v>
      </c>
      <c r="T13" s="12" t="s">
        <v>85</v>
      </c>
      <c r="U13" s="12" t="s">
        <v>85</v>
      </c>
      <c r="V13" s="12" t="s">
        <v>85</v>
      </c>
      <c r="W13" s="12" t="s">
        <v>85</v>
      </c>
      <c r="X13" s="85" t="s">
        <v>85</v>
      </c>
      <c r="Y13" s="85" t="s">
        <v>85</v>
      </c>
      <c r="Z13" s="12">
        <v>2</v>
      </c>
      <c r="AA13" s="12">
        <v>3</v>
      </c>
      <c r="AB13" s="12">
        <v>3</v>
      </c>
      <c r="AC13" s="85" t="s">
        <v>85</v>
      </c>
      <c r="AD13" s="12">
        <v>3</v>
      </c>
      <c r="AE13" s="85" t="s">
        <v>85</v>
      </c>
      <c r="AF13" s="85" t="s">
        <v>85</v>
      </c>
      <c r="AG13" s="12">
        <v>2</v>
      </c>
      <c r="AH13" s="12">
        <v>2</v>
      </c>
      <c r="AI13" s="12">
        <v>2</v>
      </c>
      <c r="AJ13" s="12">
        <v>2</v>
      </c>
      <c r="AK13" s="12"/>
      <c r="AL13" s="15">
        <f t="shared" si="1"/>
        <v>45</v>
      </c>
      <c r="AM13" s="16"/>
      <c r="AN13" s="16"/>
      <c r="AO13" s="78">
        <f t="shared" si="0"/>
        <v>5</v>
      </c>
      <c r="AP13" s="5"/>
    </row>
    <row r="14" spans="1:42" x14ac:dyDescent="0.25">
      <c r="A14" s="18">
        <v>7</v>
      </c>
      <c r="B14" s="19"/>
      <c r="C14" s="88">
        <v>147687</v>
      </c>
      <c r="D14" s="88">
        <v>20654513534</v>
      </c>
      <c r="E14" s="21" t="s">
        <v>87</v>
      </c>
      <c r="F14" s="20" t="s">
        <v>16</v>
      </c>
      <c r="G14" s="12">
        <v>2</v>
      </c>
      <c r="H14" s="12">
        <v>2</v>
      </c>
      <c r="I14" s="12">
        <v>2</v>
      </c>
      <c r="J14" s="85" t="s">
        <v>85</v>
      </c>
      <c r="K14" s="85" t="s">
        <v>85</v>
      </c>
      <c r="L14" s="12">
        <v>2</v>
      </c>
      <c r="M14" s="12">
        <v>2</v>
      </c>
      <c r="N14" s="12">
        <v>2</v>
      </c>
      <c r="O14" s="12">
        <v>2</v>
      </c>
      <c r="P14" s="12">
        <v>2</v>
      </c>
      <c r="Q14" s="85" t="s">
        <v>85</v>
      </c>
      <c r="R14" s="85" t="s">
        <v>85</v>
      </c>
      <c r="S14" s="12">
        <v>2</v>
      </c>
      <c r="T14" s="12">
        <v>2</v>
      </c>
      <c r="U14" s="12">
        <v>2</v>
      </c>
      <c r="V14" s="12">
        <v>2</v>
      </c>
      <c r="W14" s="12">
        <v>2</v>
      </c>
      <c r="X14" s="85" t="s">
        <v>85</v>
      </c>
      <c r="Y14" s="85" t="s">
        <v>85</v>
      </c>
      <c r="Z14" s="12">
        <v>2</v>
      </c>
      <c r="AA14" s="12">
        <v>3</v>
      </c>
      <c r="AB14" s="12">
        <v>3</v>
      </c>
      <c r="AC14" s="85" t="s">
        <v>85</v>
      </c>
      <c r="AD14" s="12">
        <v>3</v>
      </c>
      <c r="AE14" s="85" t="s">
        <v>85</v>
      </c>
      <c r="AF14" s="85" t="s">
        <v>85</v>
      </c>
      <c r="AG14" s="12">
        <v>2</v>
      </c>
      <c r="AH14" s="12">
        <v>2</v>
      </c>
      <c r="AI14" s="12">
        <v>2</v>
      </c>
      <c r="AJ14" s="12">
        <v>2</v>
      </c>
      <c r="AK14" s="12"/>
      <c r="AL14" s="15">
        <f t="shared" si="1"/>
        <v>45</v>
      </c>
      <c r="AM14" s="16"/>
      <c r="AN14" s="16"/>
      <c r="AO14" s="78">
        <f t="shared" si="0"/>
        <v>5</v>
      </c>
      <c r="AP14" s="5"/>
    </row>
    <row r="15" spans="1:42" x14ac:dyDescent="0.25">
      <c r="A15" s="18">
        <v>8</v>
      </c>
      <c r="B15" s="19"/>
      <c r="C15" s="53">
        <v>304615</v>
      </c>
      <c r="D15" s="54">
        <v>17788074710</v>
      </c>
      <c r="E15" s="21" t="s">
        <v>48</v>
      </c>
      <c r="F15" s="20" t="s">
        <v>16</v>
      </c>
      <c r="G15" s="12">
        <v>2</v>
      </c>
      <c r="H15" s="12">
        <v>2</v>
      </c>
      <c r="I15" s="12">
        <v>2</v>
      </c>
      <c r="J15" s="85" t="s">
        <v>85</v>
      </c>
      <c r="K15" s="85" t="s">
        <v>85</v>
      </c>
      <c r="L15" s="12">
        <v>2</v>
      </c>
      <c r="M15" s="12">
        <v>2</v>
      </c>
      <c r="N15" s="12">
        <v>2</v>
      </c>
      <c r="O15" s="12">
        <v>2</v>
      </c>
      <c r="P15" s="12">
        <v>2</v>
      </c>
      <c r="Q15" s="85" t="s">
        <v>85</v>
      </c>
      <c r="R15" s="85" t="s">
        <v>85</v>
      </c>
      <c r="S15" s="12">
        <v>2</v>
      </c>
      <c r="T15" s="12">
        <v>2</v>
      </c>
      <c r="U15" s="12">
        <v>2</v>
      </c>
      <c r="V15" s="12">
        <v>2</v>
      </c>
      <c r="W15" s="12">
        <v>2</v>
      </c>
      <c r="X15" s="85" t="s">
        <v>85</v>
      </c>
      <c r="Y15" s="85" t="s">
        <v>85</v>
      </c>
      <c r="Z15" s="12">
        <v>2</v>
      </c>
      <c r="AA15" s="12">
        <v>3</v>
      </c>
      <c r="AB15" s="12">
        <v>3</v>
      </c>
      <c r="AC15" s="85" t="s">
        <v>85</v>
      </c>
      <c r="AD15" s="12">
        <v>3</v>
      </c>
      <c r="AE15" s="85" t="s">
        <v>85</v>
      </c>
      <c r="AF15" s="85" t="s">
        <v>85</v>
      </c>
      <c r="AG15" s="12">
        <v>2</v>
      </c>
      <c r="AH15" s="12">
        <v>2</v>
      </c>
      <c r="AI15" s="12">
        <v>2</v>
      </c>
      <c r="AJ15" s="12">
        <v>2</v>
      </c>
      <c r="AK15" s="12"/>
      <c r="AL15" s="15">
        <f t="shared" si="1"/>
        <v>45</v>
      </c>
      <c r="AM15" s="16"/>
      <c r="AN15" s="16"/>
      <c r="AO15" s="78">
        <f t="shared" si="0"/>
        <v>5</v>
      </c>
      <c r="AP15" s="5"/>
    </row>
    <row r="16" spans="1:42" x14ac:dyDescent="0.25">
      <c r="A16" s="18">
        <v>9</v>
      </c>
      <c r="B16" s="19"/>
      <c r="C16" s="53">
        <v>287441</v>
      </c>
      <c r="D16" s="54">
        <v>26831423368</v>
      </c>
      <c r="E16" s="21" t="s">
        <v>49</v>
      </c>
      <c r="F16" s="20" t="s">
        <v>16</v>
      </c>
      <c r="G16" s="12">
        <v>2</v>
      </c>
      <c r="H16" s="12">
        <v>2</v>
      </c>
      <c r="I16" s="12">
        <v>3</v>
      </c>
      <c r="J16" s="85" t="s">
        <v>85</v>
      </c>
      <c r="K16" s="85" t="s">
        <v>85</v>
      </c>
      <c r="L16" s="12">
        <v>2</v>
      </c>
      <c r="M16" s="12">
        <v>2</v>
      </c>
      <c r="N16" s="12">
        <v>2</v>
      </c>
      <c r="O16" s="12">
        <v>3</v>
      </c>
      <c r="P16" s="12">
        <v>3</v>
      </c>
      <c r="Q16" s="85" t="s">
        <v>85</v>
      </c>
      <c r="R16" s="85" t="s">
        <v>85</v>
      </c>
      <c r="S16" s="12">
        <v>3</v>
      </c>
      <c r="T16" s="12">
        <v>2</v>
      </c>
      <c r="U16" s="12">
        <v>2</v>
      </c>
      <c r="V16" s="12">
        <v>2</v>
      </c>
      <c r="W16" s="12">
        <v>2</v>
      </c>
      <c r="X16" s="85" t="s">
        <v>85</v>
      </c>
      <c r="Y16" s="85" t="s">
        <v>85</v>
      </c>
      <c r="Z16" s="12" t="s">
        <v>85</v>
      </c>
      <c r="AA16" s="12" t="s">
        <v>85</v>
      </c>
      <c r="AB16" s="12" t="s">
        <v>85</v>
      </c>
      <c r="AC16" s="85" t="s">
        <v>85</v>
      </c>
      <c r="AD16" s="12">
        <v>3</v>
      </c>
      <c r="AE16" s="85" t="s">
        <v>85</v>
      </c>
      <c r="AF16" s="85" t="s">
        <v>85</v>
      </c>
      <c r="AG16" s="12">
        <v>3</v>
      </c>
      <c r="AH16" s="12">
        <v>3</v>
      </c>
      <c r="AI16" s="12">
        <v>3</v>
      </c>
      <c r="AJ16" s="12">
        <v>3</v>
      </c>
      <c r="AK16" s="12"/>
      <c r="AL16" s="15">
        <f t="shared" si="1"/>
        <v>45</v>
      </c>
      <c r="AM16" s="16"/>
      <c r="AN16" s="16"/>
      <c r="AO16" s="78">
        <f t="shared" si="0"/>
        <v>5</v>
      </c>
      <c r="AP16" s="5"/>
    </row>
    <row r="17" spans="1:42" x14ac:dyDescent="0.25">
      <c r="A17" s="18">
        <v>10</v>
      </c>
      <c r="B17" s="19"/>
      <c r="C17" s="53">
        <v>304647</v>
      </c>
      <c r="D17" s="54">
        <v>46657910828</v>
      </c>
      <c r="E17" s="21" t="s">
        <v>50</v>
      </c>
      <c r="F17" s="20" t="s">
        <v>16</v>
      </c>
      <c r="G17" s="12">
        <v>2</v>
      </c>
      <c r="H17" s="12">
        <v>2</v>
      </c>
      <c r="I17" s="12">
        <v>3</v>
      </c>
      <c r="J17" s="85" t="s">
        <v>85</v>
      </c>
      <c r="K17" s="85" t="s">
        <v>85</v>
      </c>
      <c r="L17" s="12">
        <v>3</v>
      </c>
      <c r="M17" s="12">
        <v>3</v>
      </c>
      <c r="N17" s="12">
        <v>3</v>
      </c>
      <c r="O17" s="12">
        <v>3</v>
      </c>
      <c r="P17" s="12">
        <v>2</v>
      </c>
      <c r="Q17" s="85" t="s">
        <v>85</v>
      </c>
      <c r="R17" s="85" t="s">
        <v>85</v>
      </c>
      <c r="S17" s="12">
        <v>3</v>
      </c>
      <c r="T17" s="12">
        <v>3</v>
      </c>
      <c r="U17" s="12">
        <v>3</v>
      </c>
      <c r="V17" s="12">
        <v>3</v>
      </c>
      <c r="W17" s="12">
        <v>3</v>
      </c>
      <c r="X17" s="85" t="s">
        <v>85</v>
      </c>
      <c r="Y17" s="85" t="s">
        <v>85</v>
      </c>
      <c r="Z17" s="12">
        <v>3</v>
      </c>
      <c r="AA17" s="12">
        <v>3</v>
      </c>
      <c r="AB17" s="12">
        <v>3</v>
      </c>
      <c r="AC17" s="85" t="s">
        <v>85</v>
      </c>
      <c r="AD17" s="12" t="s">
        <v>85</v>
      </c>
      <c r="AE17" s="85" t="s">
        <v>85</v>
      </c>
      <c r="AF17" s="85" t="s">
        <v>85</v>
      </c>
      <c r="AG17" s="12" t="s">
        <v>85</v>
      </c>
      <c r="AH17" s="12" t="s">
        <v>85</v>
      </c>
      <c r="AI17" s="12" t="s">
        <v>85</v>
      </c>
      <c r="AJ17" s="12" t="s">
        <v>85</v>
      </c>
      <c r="AK17" s="12"/>
      <c r="AL17" s="15">
        <f t="shared" si="1"/>
        <v>45</v>
      </c>
      <c r="AM17" s="16"/>
      <c r="AN17" s="16"/>
      <c r="AO17" s="78">
        <f t="shared" si="0"/>
        <v>5</v>
      </c>
      <c r="AP17" s="5"/>
    </row>
    <row r="18" spans="1:42" x14ac:dyDescent="0.25">
      <c r="A18" s="18">
        <v>11</v>
      </c>
      <c r="B18" s="19"/>
      <c r="C18" s="53">
        <v>304777</v>
      </c>
      <c r="D18" s="54">
        <v>55948486874</v>
      </c>
      <c r="E18" s="21" t="s">
        <v>51</v>
      </c>
      <c r="F18" s="20" t="s">
        <v>16</v>
      </c>
      <c r="G18" s="12">
        <v>2</v>
      </c>
      <c r="H18" s="12">
        <v>2</v>
      </c>
      <c r="I18" s="12">
        <v>2</v>
      </c>
      <c r="J18" s="85" t="s">
        <v>85</v>
      </c>
      <c r="K18" s="85" t="s">
        <v>85</v>
      </c>
      <c r="L18" s="12">
        <v>3</v>
      </c>
      <c r="M18" s="12">
        <v>3</v>
      </c>
      <c r="N18" s="12">
        <v>2</v>
      </c>
      <c r="O18" s="12">
        <v>2</v>
      </c>
      <c r="P18" s="12">
        <v>2</v>
      </c>
      <c r="Q18" s="85" t="s">
        <v>85</v>
      </c>
      <c r="R18" s="85" t="s">
        <v>85</v>
      </c>
      <c r="S18" s="12">
        <v>2</v>
      </c>
      <c r="T18" s="12">
        <v>2</v>
      </c>
      <c r="U18" s="12">
        <v>2</v>
      </c>
      <c r="V18" s="12" t="s">
        <v>85</v>
      </c>
      <c r="W18" s="12" t="s">
        <v>85</v>
      </c>
      <c r="X18" s="85" t="s">
        <v>85</v>
      </c>
      <c r="Y18" s="85" t="s">
        <v>85</v>
      </c>
      <c r="Z18" s="12">
        <v>2</v>
      </c>
      <c r="AA18" s="12">
        <v>3</v>
      </c>
      <c r="AB18" s="12">
        <v>3</v>
      </c>
      <c r="AC18" s="85" t="s">
        <v>85</v>
      </c>
      <c r="AD18" s="12">
        <v>3</v>
      </c>
      <c r="AE18" s="85" t="s">
        <v>85</v>
      </c>
      <c r="AF18" s="85" t="s">
        <v>85</v>
      </c>
      <c r="AG18" s="12">
        <v>3</v>
      </c>
      <c r="AH18" s="12">
        <v>3</v>
      </c>
      <c r="AI18" s="12">
        <v>2</v>
      </c>
      <c r="AJ18" s="12">
        <v>2</v>
      </c>
      <c r="AK18" s="12"/>
      <c r="AL18" s="15">
        <f t="shared" si="1"/>
        <v>45</v>
      </c>
      <c r="AM18" s="16"/>
      <c r="AN18" s="16"/>
      <c r="AO18" s="78">
        <f t="shared" si="0"/>
        <v>5</v>
      </c>
      <c r="AP18" s="5"/>
    </row>
    <row r="19" spans="1:42" x14ac:dyDescent="0.25">
      <c r="A19" s="18">
        <v>12</v>
      </c>
      <c r="B19" s="19"/>
      <c r="C19" s="53">
        <v>304760</v>
      </c>
      <c r="D19" s="54">
        <v>41857369766</v>
      </c>
      <c r="E19" s="21" t="s">
        <v>52</v>
      </c>
      <c r="F19" s="20" t="s">
        <v>16</v>
      </c>
      <c r="G19" s="12">
        <v>2</v>
      </c>
      <c r="H19" s="12">
        <v>2</v>
      </c>
      <c r="I19" s="12">
        <v>2</v>
      </c>
      <c r="J19" s="85" t="s">
        <v>85</v>
      </c>
      <c r="K19" s="85" t="s">
        <v>85</v>
      </c>
      <c r="L19" s="12">
        <v>2</v>
      </c>
      <c r="M19" s="12">
        <v>2</v>
      </c>
      <c r="N19" s="12">
        <v>2</v>
      </c>
      <c r="O19" s="12">
        <v>2</v>
      </c>
      <c r="P19" s="12">
        <v>2</v>
      </c>
      <c r="Q19" s="85" t="s">
        <v>85</v>
      </c>
      <c r="R19" s="85" t="s">
        <v>85</v>
      </c>
      <c r="S19" s="12">
        <v>2</v>
      </c>
      <c r="T19" s="12">
        <v>2</v>
      </c>
      <c r="U19" s="12">
        <v>2</v>
      </c>
      <c r="V19" s="12">
        <v>2</v>
      </c>
      <c r="W19" s="12">
        <v>2</v>
      </c>
      <c r="X19" s="85" t="s">
        <v>85</v>
      </c>
      <c r="Y19" s="85" t="s">
        <v>85</v>
      </c>
      <c r="Z19" s="12">
        <v>2</v>
      </c>
      <c r="AA19" s="12">
        <v>3</v>
      </c>
      <c r="AB19" s="12">
        <v>3</v>
      </c>
      <c r="AC19" s="85" t="s">
        <v>85</v>
      </c>
      <c r="AD19" s="12">
        <v>3</v>
      </c>
      <c r="AE19" s="85" t="s">
        <v>85</v>
      </c>
      <c r="AF19" s="85" t="s">
        <v>85</v>
      </c>
      <c r="AG19" s="12">
        <v>2</v>
      </c>
      <c r="AH19" s="12">
        <v>2</v>
      </c>
      <c r="AI19" s="12">
        <v>2</v>
      </c>
      <c r="AJ19" s="12">
        <v>2</v>
      </c>
      <c r="AK19" s="12"/>
      <c r="AL19" s="15">
        <f t="shared" si="1"/>
        <v>45</v>
      </c>
      <c r="AM19" s="16"/>
      <c r="AN19" s="16"/>
      <c r="AO19" s="78">
        <f t="shared" si="0"/>
        <v>5</v>
      </c>
      <c r="AP19" s="5"/>
    </row>
    <row r="20" spans="1:42" x14ac:dyDescent="0.25">
      <c r="A20" s="18">
        <v>13</v>
      </c>
      <c r="B20" s="19"/>
      <c r="C20" s="53">
        <v>110942</v>
      </c>
      <c r="D20" s="54">
        <v>12065762830</v>
      </c>
      <c r="E20" s="21" t="s">
        <v>53</v>
      </c>
      <c r="F20" s="20" t="s">
        <v>16</v>
      </c>
      <c r="G20" s="12">
        <v>2</v>
      </c>
      <c r="H20" s="12">
        <v>2</v>
      </c>
      <c r="I20" s="12">
        <v>2</v>
      </c>
      <c r="J20" s="85" t="s">
        <v>85</v>
      </c>
      <c r="K20" s="85" t="s">
        <v>85</v>
      </c>
      <c r="L20" s="12">
        <v>2</v>
      </c>
      <c r="M20" s="12">
        <v>2</v>
      </c>
      <c r="N20" s="12">
        <v>2</v>
      </c>
      <c r="O20" s="12">
        <v>2</v>
      </c>
      <c r="P20" s="12">
        <v>3</v>
      </c>
      <c r="Q20" s="85" t="s">
        <v>85</v>
      </c>
      <c r="R20" s="85" t="s">
        <v>85</v>
      </c>
      <c r="S20" s="12">
        <v>2</v>
      </c>
      <c r="T20" s="12">
        <v>3</v>
      </c>
      <c r="U20" s="12">
        <v>3</v>
      </c>
      <c r="V20" s="12">
        <v>3</v>
      </c>
      <c r="W20" s="12">
        <v>3</v>
      </c>
      <c r="X20" s="85" t="s">
        <v>85</v>
      </c>
      <c r="Y20" s="85" t="s">
        <v>85</v>
      </c>
      <c r="Z20" s="12">
        <v>2</v>
      </c>
      <c r="AA20" s="12">
        <v>3</v>
      </c>
      <c r="AB20" s="12">
        <v>3</v>
      </c>
      <c r="AC20" s="85" t="s">
        <v>85</v>
      </c>
      <c r="AD20" s="12">
        <v>3</v>
      </c>
      <c r="AE20" s="85" t="s">
        <v>85</v>
      </c>
      <c r="AF20" s="85" t="s">
        <v>85</v>
      </c>
      <c r="AG20" s="12">
        <v>3</v>
      </c>
      <c r="AH20" s="12" t="s">
        <v>85</v>
      </c>
      <c r="AI20" s="12" t="s">
        <v>85</v>
      </c>
      <c r="AJ20" s="12" t="s">
        <v>85</v>
      </c>
      <c r="AK20" s="12"/>
      <c r="AL20" s="15">
        <f t="shared" si="1"/>
        <v>45</v>
      </c>
      <c r="AM20" s="16"/>
      <c r="AN20" s="16"/>
      <c r="AO20" s="78">
        <f t="shared" si="0"/>
        <v>5</v>
      </c>
      <c r="AP20" s="5"/>
    </row>
    <row r="21" spans="1:42" x14ac:dyDescent="0.25">
      <c r="A21" s="18">
        <v>14</v>
      </c>
      <c r="B21" s="19"/>
      <c r="C21" s="53">
        <v>229779</v>
      </c>
      <c r="D21" s="54">
        <v>21281416588</v>
      </c>
      <c r="E21" s="21" t="s">
        <v>54</v>
      </c>
      <c r="F21" s="20" t="s">
        <v>16</v>
      </c>
      <c r="G21" s="12">
        <v>2</v>
      </c>
      <c r="H21" s="12">
        <v>2</v>
      </c>
      <c r="I21" s="12">
        <v>3</v>
      </c>
      <c r="J21" s="85" t="s">
        <v>85</v>
      </c>
      <c r="K21" s="85" t="s">
        <v>85</v>
      </c>
      <c r="L21" s="12">
        <v>3</v>
      </c>
      <c r="M21" s="12">
        <v>3</v>
      </c>
      <c r="N21" s="12">
        <v>3</v>
      </c>
      <c r="O21" s="12">
        <v>3</v>
      </c>
      <c r="P21" s="12">
        <v>3</v>
      </c>
      <c r="Q21" s="85" t="s">
        <v>85</v>
      </c>
      <c r="R21" s="85" t="s">
        <v>85</v>
      </c>
      <c r="S21" s="12">
        <v>2</v>
      </c>
      <c r="T21" s="12">
        <v>2</v>
      </c>
      <c r="U21" s="12">
        <v>2</v>
      </c>
      <c r="V21" s="12">
        <v>2</v>
      </c>
      <c r="W21" s="12">
        <v>2</v>
      </c>
      <c r="X21" s="85" t="s">
        <v>85</v>
      </c>
      <c r="Y21" s="85" t="s">
        <v>85</v>
      </c>
      <c r="Z21" s="12">
        <v>2</v>
      </c>
      <c r="AA21" s="12">
        <v>3</v>
      </c>
      <c r="AB21" s="12">
        <v>3</v>
      </c>
      <c r="AC21" s="85" t="s">
        <v>85</v>
      </c>
      <c r="AD21" s="12">
        <v>3</v>
      </c>
      <c r="AE21" s="85" t="s">
        <v>85</v>
      </c>
      <c r="AF21" s="85" t="s">
        <v>85</v>
      </c>
      <c r="AG21" s="12" t="s">
        <v>85</v>
      </c>
      <c r="AH21" s="12" t="s">
        <v>85</v>
      </c>
      <c r="AI21" s="12" t="s">
        <v>85</v>
      </c>
      <c r="AJ21" s="12">
        <v>2</v>
      </c>
      <c r="AK21" s="12"/>
      <c r="AL21" s="15">
        <f t="shared" si="1"/>
        <v>45</v>
      </c>
      <c r="AM21" s="16"/>
      <c r="AN21" s="16"/>
      <c r="AO21" s="78">
        <f t="shared" si="0"/>
        <v>5</v>
      </c>
      <c r="AP21" s="5"/>
    </row>
    <row r="22" spans="1:42" x14ac:dyDescent="0.25">
      <c r="A22" s="18">
        <v>15</v>
      </c>
      <c r="B22" s="19"/>
      <c r="C22" s="53">
        <v>253212</v>
      </c>
      <c r="D22" s="54">
        <v>15344845576</v>
      </c>
      <c r="E22" s="21" t="s">
        <v>55</v>
      </c>
      <c r="F22" s="20" t="s">
        <v>16</v>
      </c>
      <c r="G22" s="12">
        <v>3</v>
      </c>
      <c r="H22" s="12" t="s">
        <v>85</v>
      </c>
      <c r="I22" s="12" t="s">
        <v>85</v>
      </c>
      <c r="J22" s="85" t="s">
        <v>85</v>
      </c>
      <c r="K22" s="85" t="s">
        <v>85</v>
      </c>
      <c r="L22" s="12">
        <v>2</v>
      </c>
      <c r="M22" s="12">
        <v>2</v>
      </c>
      <c r="N22" s="12">
        <v>3</v>
      </c>
      <c r="O22" s="12">
        <v>2</v>
      </c>
      <c r="P22" s="12">
        <v>2</v>
      </c>
      <c r="Q22" s="85" t="s">
        <v>85</v>
      </c>
      <c r="R22" s="85" t="s">
        <v>85</v>
      </c>
      <c r="S22" s="12">
        <v>2</v>
      </c>
      <c r="T22" s="12">
        <v>3</v>
      </c>
      <c r="U22" s="12">
        <v>3</v>
      </c>
      <c r="V22" s="12">
        <v>2</v>
      </c>
      <c r="W22" s="12">
        <v>2</v>
      </c>
      <c r="X22" s="85" t="s">
        <v>85</v>
      </c>
      <c r="Y22" s="85" t="s">
        <v>85</v>
      </c>
      <c r="Z22" s="12">
        <v>2</v>
      </c>
      <c r="AA22" s="12">
        <v>3</v>
      </c>
      <c r="AB22" s="12">
        <v>3</v>
      </c>
      <c r="AC22" s="85" t="s">
        <v>85</v>
      </c>
      <c r="AD22" s="12">
        <v>3</v>
      </c>
      <c r="AE22" s="85" t="s">
        <v>85</v>
      </c>
      <c r="AF22" s="85" t="s">
        <v>85</v>
      </c>
      <c r="AG22" s="12">
        <v>2</v>
      </c>
      <c r="AH22" s="12">
        <v>2</v>
      </c>
      <c r="AI22" s="12">
        <v>2</v>
      </c>
      <c r="AJ22" s="12">
        <v>2</v>
      </c>
      <c r="AK22" s="12"/>
      <c r="AL22" s="15">
        <f t="shared" si="1"/>
        <v>45</v>
      </c>
      <c r="AM22" s="16"/>
      <c r="AN22" s="16"/>
      <c r="AO22" s="78">
        <f t="shared" si="0"/>
        <v>5</v>
      </c>
      <c r="AP22" s="5"/>
    </row>
    <row r="23" spans="1:42" x14ac:dyDescent="0.25">
      <c r="A23" s="18">
        <v>16</v>
      </c>
      <c r="B23" s="19"/>
      <c r="C23" s="53">
        <v>222207</v>
      </c>
      <c r="D23" s="54">
        <v>13879006622</v>
      </c>
      <c r="E23" s="21" t="s">
        <v>56</v>
      </c>
      <c r="F23" s="20" t="s">
        <v>16</v>
      </c>
      <c r="G23" s="12">
        <v>2</v>
      </c>
      <c r="H23" s="12">
        <v>2</v>
      </c>
      <c r="I23" s="12">
        <v>2</v>
      </c>
      <c r="J23" s="85" t="s">
        <v>85</v>
      </c>
      <c r="K23" s="85" t="s">
        <v>85</v>
      </c>
      <c r="L23" s="12">
        <v>2</v>
      </c>
      <c r="M23" s="12">
        <v>2</v>
      </c>
      <c r="N23" s="12">
        <v>2</v>
      </c>
      <c r="O23" s="12">
        <v>2</v>
      </c>
      <c r="P23" s="12">
        <v>2</v>
      </c>
      <c r="Q23" s="85" t="s">
        <v>85</v>
      </c>
      <c r="R23" s="85" t="s">
        <v>85</v>
      </c>
      <c r="S23" s="12">
        <v>2</v>
      </c>
      <c r="T23" s="12">
        <v>2</v>
      </c>
      <c r="U23" s="12">
        <v>2</v>
      </c>
      <c r="V23" s="12">
        <v>2</v>
      </c>
      <c r="W23" s="12">
        <v>2</v>
      </c>
      <c r="X23" s="85" t="s">
        <v>85</v>
      </c>
      <c r="Y23" s="85" t="s">
        <v>85</v>
      </c>
      <c r="Z23" s="12">
        <v>2</v>
      </c>
      <c r="AA23" s="12">
        <v>3</v>
      </c>
      <c r="AB23" s="12">
        <v>3</v>
      </c>
      <c r="AC23" s="85" t="s">
        <v>85</v>
      </c>
      <c r="AD23" s="12">
        <v>3</v>
      </c>
      <c r="AE23" s="85" t="s">
        <v>85</v>
      </c>
      <c r="AF23" s="85" t="s">
        <v>85</v>
      </c>
      <c r="AG23" s="12">
        <v>2</v>
      </c>
      <c r="AH23" s="12">
        <v>2</v>
      </c>
      <c r="AI23" s="12">
        <v>2</v>
      </c>
      <c r="AJ23" s="12">
        <v>2</v>
      </c>
      <c r="AK23" s="12"/>
      <c r="AL23" s="15">
        <f t="shared" si="1"/>
        <v>45</v>
      </c>
      <c r="AM23" s="16"/>
      <c r="AN23" s="16"/>
      <c r="AO23" s="78">
        <f t="shared" si="0"/>
        <v>5</v>
      </c>
      <c r="AP23" s="5"/>
    </row>
    <row r="24" spans="1:42" ht="15" customHeight="1" x14ac:dyDescent="0.25">
      <c r="A24" s="18">
        <v>17</v>
      </c>
      <c r="B24" s="19"/>
      <c r="C24" s="53">
        <v>304006</v>
      </c>
      <c r="D24" s="54">
        <v>11026134198</v>
      </c>
      <c r="E24" s="71" t="s">
        <v>57</v>
      </c>
      <c r="F24" s="20" t="s">
        <v>16</v>
      </c>
      <c r="G24" s="12">
        <v>2</v>
      </c>
      <c r="H24" s="12">
        <v>2</v>
      </c>
      <c r="I24" s="12">
        <v>2</v>
      </c>
      <c r="J24" s="85" t="s">
        <v>85</v>
      </c>
      <c r="K24" s="85" t="s">
        <v>85</v>
      </c>
      <c r="L24" s="12">
        <v>2</v>
      </c>
      <c r="M24" s="12">
        <v>2</v>
      </c>
      <c r="N24" s="12">
        <v>2</v>
      </c>
      <c r="O24" s="12">
        <v>2</v>
      </c>
      <c r="P24" s="12">
        <v>2</v>
      </c>
      <c r="Q24" s="85" t="s">
        <v>85</v>
      </c>
      <c r="R24" s="85" t="s">
        <v>85</v>
      </c>
      <c r="S24" s="12">
        <v>2</v>
      </c>
      <c r="T24" s="12">
        <v>2</v>
      </c>
      <c r="U24" s="12">
        <v>2</v>
      </c>
      <c r="V24" s="12">
        <v>2</v>
      </c>
      <c r="W24" s="12">
        <v>2</v>
      </c>
      <c r="X24" s="85" t="s">
        <v>85</v>
      </c>
      <c r="Y24" s="85" t="s">
        <v>85</v>
      </c>
      <c r="Z24" s="12">
        <v>2</v>
      </c>
      <c r="AA24" s="12">
        <v>3</v>
      </c>
      <c r="AB24" s="12">
        <v>3</v>
      </c>
      <c r="AC24" s="85" t="s">
        <v>85</v>
      </c>
      <c r="AD24" s="12">
        <v>3</v>
      </c>
      <c r="AE24" s="85" t="s">
        <v>85</v>
      </c>
      <c r="AF24" s="85" t="s">
        <v>85</v>
      </c>
      <c r="AG24" s="12">
        <v>2</v>
      </c>
      <c r="AH24" s="12">
        <v>2</v>
      </c>
      <c r="AI24" s="12">
        <v>2</v>
      </c>
      <c r="AJ24" s="12">
        <v>2</v>
      </c>
      <c r="AK24" s="12"/>
      <c r="AL24" s="15">
        <f t="shared" si="1"/>
        <v>45</v>
      </c>
      <c r="AM24" s="16"/>
      <c r="AN24" s="16"/>
      <c r="AO24" s="78">
        <f t="shared" si="0"/>
        <v>5</v>
      </c>
      <c r="AP24" s="5"/>
    </row>
    <row r="25" spans="1:42" x14ac:dyDescent="0.25">
      <c r="A25" s="18">
        <v>18</v>
      </c>
      <c r="B25" s="19"/>
      <c r="C25" s="53">
        <v>303988</v>
      </c>
      <c r="D25" s="54">
        <v>11224059576</v>
      </c>
      <c r="E25" s="21" t="s">
        <v>60</v>
      </c>
      <c r="F25" s="20" t="s">
        <v>16</v>
      </c>
      <c r="G25" s="12">
        <v>2</v>
      </c>
      <c r="H25" s="12">
        <v>2</v>
      </c>
      <c r="I25" s="12">
        <v>2</v>
      </c>
      <c r="J25" s="85" t="s">
        <v>85</v>
      </c>
      <c r="K25" s="85" t="s">
        <v>85</v>
      </c>
      <c r="L25" s="12">
        <v>2</v>
      </c>
      <c r="M25" s="12">
        <v>2</v>
      </c>
      <c r="N25" s="12">
        <v>2</v>
      </c>
      <c r="O25" s="12">
        <v>3</v>
      </c>
      <c r="P25" s="12">
        <v>3</v>
      </c>
      <c r="Q25" s="85" t="s">
        <v>85</v>
      </c>
      <c r="R25" s="85" t="s">
        <v>85</v>
      </c>
      <c r="S25" s="12">
        <v>2</v>
      </c>
      <c r="T25" s="12">
        <v>3</v>
      </c>
      <c r="U25" s="12">
        <v>3</v>
      </c>
      <c r="V25" s="12" t="s">
        <v>85</v>
      </c>
      <c r="W25" s="12" t="s">
        <v>85</v>
      </c>
      <c r="X25" s="85" t="s">
        <v>85</v>
      </c>
      <c r="Y25" s="85" t="s">
        <v>85</v>
      </c>
      <c r="Z25" s="12">
        <v>2</v>
      </c>
      <c r="AA25" s="12">
        <v>3</v>
      </c>
      <c r="AB25" s="12">
        <v>3</v>
      </c>
      <c r="AC25" s="85" t="s">
        <v>85</v>
      </c>
      <c r="AD25" s="12">
        <v>3</v>
      </c>
      <c r="AE25" s="85" t="s">
        <v>85</v>
      </c>
      <c r="AF25" s="85" t="s">
        <v>85</v>
      </c>
      <c r="AG25" s="12">
        <v>3</v>
      </c>
      <c r="AH25" s="12" t="s">
        <v>85</v>
      </c>
      <c r="AI25" s="12">
        <v>3</v>
      </c>
      <c r="AJ25" s="12">
        <v>2</v>
      </c>
      <c r="AK25" s="12"/>
      <c r="AL25" s="15">
        <f t="shared" si="1"/>
        <v>45</v>
      </c>
      <c r="AM25" s="16"/>
      <c r="AN25" s="16"/>
      <c r="AO25" s="78">
        <f t="shared" si="0"/>
        <v>5</v>
      </c>
      <c r="AP25" s="5"/>
    </row>
    <row r="26" spans="1:42" x14ac:dyDescent="0.25">
      <c r="A26" s="18">
        <v>19</v>
      </c>
      <c r="B26" s="19"/>
      <c r="C26" s="53">
        <v>221713</v>
      </c>
      <c r="D26" s="54">
        <v>20510328180</v>
      </c>
      <c r="E26" s="21" t="s">
        <v>61</v>
      </c>
      <c r="F26" s="20" t="s">
        <v>16</v>
      </c>
      <c r="G26" s="12">
        <v>2</v>
      </c>
      <c r="H26" s="12">
        <v>2</v>
      </c>
      <c r="I26" s="12">
        <v>2</v>
      </c>
      <c r="J26" s="85" t="s">
        <v>85</v>
      </c>
      <c r="K26" s="85" t="s">
        <v>85</v>
      </c>
      <c r="L26" s="12">
        <v>3</v>
      </c>
      <c r="M26" s="12">
        <v>2</v>
      </c>
      <c r="N26" s="12">
        <v>2</v>
      </c>
      <c r="O26" s="12">
        <v>2</v>
      </c>
      <c r="P26" s="12">
        <v>2</v>
      </c>
      <c r="Q26" s="85" t="s">
        <v>85</v>
      </c>
      <c r="R26" s="85" t="s">
        <v>85</v>
      </c>
      <c r="S26" s="12">
        <v>2</v>
      </c>
      <c r="T26" s="12">
        <v>2</v>
      </c>
      <c r="U26" s="12">
        <v>2</v>
      </c>
      <c r="V26" s="12">
        <v>2</v>
      </c>
      <c r="W26" s="12">
        <v>2</v>
      </c>
      <c r="X26" s="85" t="s">
        <v>85</v>
      </c>
      <c r="Y26" s="85" t="s">
        <v>85</v>
      </c>
      <c r="Z26" s="12">
        <v>3</v>
      </c>
      <c r="AA26" s="12">
        <v>3</v>
      </c>
      <c r="AB26" s="12">
        <v>3</v>
      </c>
      <c r="AC26" s="85" t="s">
        <v>85</v>
      </c>
      <c r="AD26" s="12" t="s">
        <v>85</v>
      </c>
      <c r="AE26" s="85" t="s">
        <v>85</v>
      </c>
      <c r="AF26" s="85" t="s">
        <v>85</v>
      </c>
      <c r="AG26" s="12">
        <v>3</v>
      </c>
      <c r="AH26" s="12">
        <v>2</v>
      </c>
      <c r="AI26" s="12">
        <v>2</v>
      </c>
      <c r="AJ26" s="12">
        <v>2</v>
      </c>
      <c r="AK26" s="12"/>
      <c r="AL26" s="15">
        <f t="shared" si="1"/>
        <v>45</v>
      </c>
      <c r="AM26" s="16"/>
      <c r="AN26" s="16"/>
      <c r="AO26" s="78">
        <f t="shared" si="0"/>
        <v>5</v>
      </c>
      <c r="AP26" s="5"/>
    </row>
    <row r="27" spans="1:42" x14ac:dyDescent="0.25">
      <c r="A27" s="18">
        <v>20</v>
      </c>
      <c r="B27" s="19"/>
      <c r="C27" s="53">
        <v>304692</v>
      </c>
      <c r="D27" s="54">
        <v>40012025004</v>
      </c>
      <c r="E27" s="21" t="s">
        <v>62</v>
      </c>
      <c r="F27" s="20" t="s">
        <v>16</v>
      </c>
      <c r="G27" s="12">
        <v>2</v>
      </c>
      <c r="H27" s="12">
        <v>2</v>
      </c>
      <c r="I27" s="12">
        <v>2</v>
      </c>
      <c r="J27" s="85" t="s">
        <v>85</v>
      </c>
      <c r="K27" s="85" t="s">
        <v>85</v>
      </c>
      <c r="L27" s="12">
        <v>2</v>
      </c>
      <c r="M27" s="12">
        <v>2</v>
      </c>
      <c r="N27" s="12">
        <v>2</v>
      </c>
      <c r="O27" s="12">
        <v>2</v>
      </c>
      <c r="P27" s="12">
        <v>2</v>
      </c>
      <c r="Q27" s="85" t="s">
        <v>85</v>
      </c>
      <c r="R27" s="85" t="s">
        <v>85</v>
      </c>
      <c r="S27" s="12">
        <v>2</v>
      </c>
      <c r="T27" s="12">
        <v>2</v>
      </c>
      <c r="U27" s="12">
        <v>2</v>
      </c>
      <c r="V27" s="12">
        <v>2</v>
      </c>
      <c r="W27" s="12">
        <v>2</v>
      </c>
      <c r="X27" s="85" t="s">
        <v>85</v>
      </c>
      <c r="Y27" s="85" t="s">
        <v>85</v>
      </c>
      <c r="Z27" s="12">
        <v>2</v>
      </c>
      <c r="AA27" s="12">
        <v>3</v>
      </c>
      <c r="AB27" s="12">
        <v>3</v>
      </c>
      <c r="AC27" s="85" t="s">
        <v>85</v>
      </c>
      <c r="AD27" s="12">
        <v>3</v>
      </c>
      <c r="AE27" s="85" t="s">
        <v>85</v>
      </c>
      <c r="AF27" s="85" t="s">
        <v>85</v>
      </c>
      <c r="AG27" s="12">
        <v>2</v>
      </c>
      <c r="AH27" s="12">
        <v>2</v>
      </c>
      <c r="AI27" s="12">
        <v>2</v>
      </c>
      <c r="AJ27" s="12">
        <v>2</v>
      </c>
      <c r="AK27" s="12"/>
      <c r="AL27" s="15">
        <f t="shared" si="1"/>
        <v>45</v>
      </c>
      <c r="AM27" s="16"/>
      <c r="AN27" s="16"/>
      <c r="AO27" s="78">
        <f t="shared" si="0"/>
        <v>5</v>
      </c>
      <c r="AP27" s="5"/>
    </row>
    <row r="28" spans="1:42" x14ac:dyDescent="0.25">
      <c r="A28" s="18">
        <v>21</v>
      </c>
      <c r="B28" s="19"/>
      <c r="C28" s="74">
        <v>188116</v>
      </c>
      <c r="D28" s="75">
        <v>15823126110</v>
      </c>
      <c r="E28" s="21" t="s">
        <v>63</v>
      </c>
      <c r="F28" s="20" t="s">
        <v>16</v>
      </c>
      <c r="G28" s="12">
        <v>2</v>
      </c>
      <c r="H28" s="12">
        <v>2</v>
      </c>
      <c r="I28" s="12">
        <v>2</v>
      </c>
      <c r="J28" s="85" t="s">
        <v>85</v>
      </c>
      <c r="K28" s="85" t="s">
        <v>85</v>
      </c>
      <c r="L28" s="12">
        <v>2</v>
      </c>
      <c r="M28" s="12">
        <v>2</v>
      </c>
      <c r="N28" s="12">
        <v>2</v>
      </c>
      <c r="O28" s="12">
        <v>2</v>
      </c>
      <c r="P28" s="12">
        <v>2</v>
      </c>
      <c r="Q28" s="85" t="s">
        <v>85</v>
      </c>
      <c r="R28" s="85" t="s">
        <v>85</v>
      </c>
      <c r="S28" s="12">
        <v>2</v>
      </c>
      <c r="T28" s="12">
        <v>2</v>
      </c>
      <c r="U28" s="12">
        <v>2</v>
      </c>
      <c r="V28" s="12">
        <v>2</v>
      </c>
      <c r="W28" s="12">
        <v>2</v>
      </c>
      <c r="X28" s="85" t="s">
        <v>85</v>
      </c>
      <c r="Y28" s="85" t="s">
        <v>85</v>
      </c>
      <c r="Z28" s="12">
        <v>2</v>
      </c>
      <c r="AA28" s="12">
        <v>3</v>
      </c>
      <c r="AB28" s="12">
        <v>3</v>
      </c>
      <c r="AC28" s="85" t="s">
        <v>85</v>
      </c>
      <c r="AD28" s="12">
        <v>3</v>
      </c>
      <c r="AE28" s="85" t="s">
        <v>85</v>
      </c>
      <c r="AF28" s="85" t="s">
        <v>85</v>
      </c>
      <c r="AG28" s="12">
        <v>2</v>
      </c>
      <c r="AH28" s="12">
        <v>2</v>
      </c>
      <c r="AI28" s="12">
        <v>2</v>
      </c>
      <c r="AJ28" s="12">
        <v>2</v>
      </c>
      <c r="AK28" s="12"/>
      <c r="AL28" s="15">
        <f t="shared" si="1"/>
        <v>45</v>
      </c>
      <c r="AM28" s="16"/>
      <c r="AN28" s="16"/>
      <c r="AO28" s="78">
        <f t="shared" si="0"/>
        <v>5</v>
      </c>
      <c r="AP28" s="5"/>
    </row>
    <row r="29" spans="1:42" x14ac:dyDescent="0.25">
      <c r="A29" s="18">
        <v>22</v>
      </c>
      <c r="B29" s="19"/>
      <c r="C29" s="74">
        <v>304709</v>
      </c>
      <c r="D29" s="75">
        <v>28136517698</v>
      </c>
      <c r="E29" s="21" t="s">
        <v>64</v>
      </c>
      <c r="F29" s="20" t="s">
        <v>16</v>
      </c>
      <c r="G29" s="12">
        <v>3</v>
      </c>
      <c r="H29" s="12" t="s">
        <v>85</v>
      </c>
      <c r="I29" s="12">
        <v>3</v>
      </c>
      <c r="J29" s="85" t="s">
        <v>85</v>
      </c>
      <c r="K29" s="85" t="s">
        <v>85</v>
      </c>
      <c r="L29" s="12" t="s">
        <v>85</v>
      </c>
      <c r="M29" s="12" t="s">
        <v>85</v>
      </c>
      <c r="N29" s="12" t="s">
        <v>85</v>
      </c>
      <c r="O29" s="12" t="s">
        <v>85</v>
      </c>
      <c r="P29" s="12" t="s">
        <v>85</v>
      </c>
      <c r="Q29" s="85" t="s">
        <v>85</v>
      </c>
      <c r="R29" s="85" t="s">
        <v>85</v>
      </c>
      <c r="S29" s="12">
        <v>3</v>
      </c>
      <c r="T29" s="12">
        <v>3</v>
      </c>
      <c r="U29" s="12">
        <v>3</v>
      </c>
      <c r="V29" s="12" t="s">
        <v>85</v>
      </c>
      <c r="W29" s="12" t="s">
        <v>85</v>
      </c>
      <c r="X29" s="85" t="s">
        <v>85</v>
      </c>
      <c r="Y29" s="85" t="s">
        <v>85</v>
      </c>
      <c r="Z29" s="12">
        <v>3</v>
      </c>
      <c r="AA29" s="12">
        <v>3</v>
      </c>
      <c r="AB29" s="12">
        <v>3</v>
      </c>
      <c r="AC29" s="85" t="s">
        <v>85</v>
      </c>
      <c r="AD29" s="12">
        <v>3</v>
      </c>
      <c r="AE29" s="85">
        <v>5</v>
      </c>
      <c r="AF29" s="85">
        <v>4</v>
      </c>
      <c r="AG29" s="12">
        <v>3</v>
      </c>
      <c r="AH29" s="12">
        <v>3</v>
      </c>
      <c r="AI29" s="12">
        <v>3</v>
      </c>
      <c r="AJ29" s="12" t="s">
        <v>85</v>
      </c>
      <c r="AK29" s="12"/>
      <c r="AL29" s="15">
        <f t="shared" si="1"/>
        <v>45</v>
      </c>
      <c r="AM29" s="16"/>
      <c r="AN29" s="16"/>
      <c r="AO29" s="78">
        <f t="shared" si="0"/>
        <v>5</v>
      </c>
      <c r="AP29" s="5"/>
    </row>
    <row r="30" spans="1:42" s="32" customFormat="1" x14ac:dyDescent="0.25">
      <c r="A30" s="18">
        <v>23</v>
      </c>
      <c r="B30" s="19"/>
      <c r="C30" s="74">
        <v>181079</v>
      </c>
      <c r="D30" s="75">
        <v>17890869334</v>
      </c>
      <c r="E30" s="21" t="s">
        <v>67</v>
      </c>
      <c r="F30" s="20" t="s">
        <v>16</v>
      </c>
      <c r="G30" s="12">
        <v>3</v>
      </c>
      <c r="H30" s="12">
        <v>3</v>
      </c>
      <c r="I30" s="12">
        <v>3</v>
      </c>
      <c r="J30" s="85" t="s">
        <v>85</v>
      </c>
      <c r="K30" s="85" t="s">
        <v>85</v>
      </c>
      <c r="L30" s="12">
        <v>2</v>
      </c>
      <c r="M30" s="12">
        <v>2</v>
      </c>
      <c r="N30" s="12">
        <v>2</v>
      </c>
      <c r="O30" s="12">
        <v>2</v>
      </c>
      <c r="P30" s="12">
        <v>2</v>
      </c>
      <c r="Q30" s="85" t="s">
        <v>85</v>
      </c>
      <c r="R30" s="85" t="s">
        <v>85</v>
      </c>
      <c r="S30" s="12">
        <v>2</v>
      </c>
      <c r="T30" s="12">
        <v>2</v>
      </c>
      <c r="U30" s="12">
        <v>2</v>
      </c>
      <c r="V30" s="12">
        <v>2</v>
      </c>
      <c r="W30" s="12">
        <v>2</v>
      </c>
      <c r="X30" s="85" t="s">
        <v>85</v>
      </c>
      <c r="Y30" s="85" t="s">
        <v>85</v>
      </c>
      <c r="Z30" s="12">
        <v>3</v>
      </c>
      <c r="AA30" s="12">
        <v>3</v>
      </c>
      <c r="AB30" s="12">
        <v>3</v>
      </c>
      <c r="AC30" s="85" t="s">
        <v>85</v>
      </c>
      <c r="AD30" s="12">
        <v>3</v>
      </c>
      <c r="AE30" s="85" t="s">
        <v>85</v>
      </c>
      <c r="AF30" s="85" t="s">
        <v>85</v>
      </c>
      <c r="AG30" s="12">
        <v>2</v>
      </c>
      <c r="AH30" s="12">
        <v>2</v>
      </c>
      <c r="AI30" s="12" t="s">
        <v>85</v>
      </c>
      <c r="AJ30" s="12" t="s">
        <v>85</v>
      </c>
      <c r="AK30" s="12"/>
      <c r="AL30" s="15">
        <f t="shared" si="1"/>
        <v>45</v>
      </c>
      <c r="AM30" s="16"/>
      <c r="AN30" s="16"/>
      <c r="AO30" s="78">
        <f t="shared" si="0"/>
        <v>5</v>
      </c>
      <c r="AP30" s="5"/>
    </row>
    <row r="31" spans="1:42" s="32" customFormat="1" x14ac:dyDescent="0.25">
      <c r="A31" s="18">
        <v>24</v>
      </c>
      <c r="B31" s="19"/>
      <c r="C31" s="75">
        <v>287462</v>
      </c>
      <c r="D31" s="75">
        <v>32113696764</v>
      </c>
      <c r="E31" s="21" t="s">
        <v>68</v>
      </c>
      <c r="F31" s="20" t="s">
        <v>16</v>
      </c>
      <c r="G31" s="12">
        <v>2</v>
      </c>
      <c r="H31" s="12">
        <v>2</v>
      </c>
      <c r="I31" s="12">
        <v>2</v>
      </c>
      <c r="J31" s="85" t="s">
        <v>85</v>
      </c>
      <c r="K31" s="85" t="s">
        <v>85</v>
      </c>
      <c r="L31" s="12">
        <v>2</v>
      </c>
      <c r="M31" s="12">
        <v>2</v>
      </c>
      <c r="N31" s="12">
        <v>2</v>
      </c>
      <c r="O31" s="12">
        <v>2</v>
      </c>
      <c r="P31" s="12">
        <v>2</v>
      </c>
      <c r="Q31" s="85" t="s">
        <v>85</v>
      </c>
      <c r="R31" s="85" t="s">
        <v>85</v>
      </c>
      <c r="S31" s="12">
        <v>2</v>
      </c>
      <c r="T31" s="12">
        <v>2</v>
      </c>
      <c r="U31" s="12">
        <v>2</v>
      </c>
      <c r="V31" s="12">
        <v>2</v>
      </c>
      <c r="W31" s="12">
        <v>2</v>
      </c>
      <c r="X31" s="85" t="s">
        <v>85</v>
      </c>
      <c r="Y31" s="85" t="s">
        <v>85</v>
      </c>
      <c r="Z31" s="12">
        <v>2</v>
      </c>
      <c r="AA31" s="12">
        <v>3</v>
      </c>
      <c r="AB31" s="12">
        <v>3</v>
      </c>
      <c r="AC31" s="85" t="s">
        <v>85</v>
      </c>
      <c r="AD31" s="12">
        <v>3</v>
      </c>
      <c r="AE31" s="85" t="s">
        <v>85</v>
      </c>
      <c r="AF31" s="85" t="s">
        <v>85</v>
      </c>
      <c r="AG31" s="12">
        <v>2</v>
      </c>
      <c r="AH31" s="12">
        <v>2</v>
      </c>
      <c r="AI31" s="12">
        <v>2</v>
      </c>
      <c r="AJ31" s="12">
        <v>2</v>
      </c>
      <c r="AK31" s="12"/>
      <c r="AL31" s="15">
        <f t="shared" si="1"/>
        <v>45</v>
      </c>
      <c r="AM31" s="16"/>
      <c r="AN31" s="16"/>
      <c r="AO31" s="78">
        <f t="shared" si="0"/>
        <v>5</v>
      </c>
      <c r="AP31" s="5"/>
    </row>
    <row r="32" spans="1:42" s="32" customFormat="1" x14ac:dyDescent="0.25">
      <c r="A32" s="18">
        <v>25</v>
      </c>
      <c r="B32" s="19"/>
      <c r="C32" s="75">
        <v>47447</v>
      </c>
      <c r="D32" s="88">
        <v>30073198922</v>
      </c>
      <c r="E32" s="21" t="s">
        <v>69</v>
      </c>
      <c r="F32" s="20" t="s">
        <v>16</v>
      </c>
      <c r="G32" s="12">
        <v>2</v>
      </c>
      <c r="H32" s="12">
        <v>2</v>
      </c>
      <c r="I32" s="12">
        <v>2</v>
      </c>
      <c r="J32" s="85" t="s">
        <v>85</v>
      </c>
      <c r="K32" s="85" t="s">
        <v>85</v>
      </c>
      <c r="L32" s="12">
        <v>2</v>
      </c>
      <c r="M32" s="12">
        <v>2</v>
      </c>
      <c r="N32" s="12">
        <v>2</v>
      </c>
      <c r="O32" s="12">
        <v>2</v>
      </c>
      <c r="P32" s="12">
        <v>2</v>
      </c>
      <c r="Q32" s="85" t="s">
        <v>85</v>
      </c>
      <c r="R32" s="85" t="s">
        <v>85</v>
      </c>
      <c r="S32" s="12">
        <v>2</v>
      </c>
      <c r="T32" s="12">
        <v>2</v>
      </c>
      <c r="U32" s="12">
        <v>2</v>
      </c>
      <c r="V32" s="12">
        <v>2</v>
      </c>
      <c r="W32" s="12">
        <v>2</v>
      </c>
      <c r="X32" s="85" t="s">
        <v>85</v>
      </c>
      <c r="Y32" s="85" t="s">
        <v>85</v>
      </c>
      <c r="Z32" s="12">
        <v>2</v>
      </c>
      <c r="AA32" s="12">
        <v>3</v>
      </c>
      <c r="AB32" s="12">
        <v>3</v>
      </c>
      <c r="AC32" s="85" t="s">
        <v>85</v>
      </c>
      <c r="AD32" s="12">
        <v>3</v>
      </c>
      <c r="AE32" s="85" t="s">
        <v>85</v>
      </c>
      <c r="AF32" s="85" t="s">
        <v>85</v>
      </c>
      <c r="AG32" s="12">
        <v>2</v>
      </c>
      <c r="AH32" s="12">
        <v>2</v>
      </c>
      <c r="AI32" s="12">
        <v>2</v>
      </c>
      <c r="AJ32" s="12">
        <v>2</v>
      </c>
      <c r="AK32" s="12"/>
      <c r="AL32" s="15">
        <f t="shared" si="1"/>
        <v>45</v>
      </c>
      <c r="AM32" s="16"/>
      <c r="AN32" s="16"/>
      <c r="AO32" s="78">
        <f t="shared" si="0"/>
        <v>5</v>
      </c>
      <c r="AP32" s="5"/>
    </row>
    <row r="33" spans="1:42" s="32" customFormat="1" x14ac:dyDescent="0.25">
      <c r="A33" s="18">
        <v>26</v>
      </c>
      <c r="B33" s="19"/>
      <c r="C33" s="74">
        <v>47414</v>
      </c>
      <c r="D33" s="76">
        <v>29131003278</v>
      </c>
      <c r="E33" s="21" t="s">
        <v>70</v>
      </c>
      <c r="F33" s="20" t="s">
        <v>16</v>
      </c>
      <c r="G33" s="12">
        <v>2</v>
      </c>
      <c r="H33" s="12">
        <v>2</v>
      </c>
      <c r="I33" s="12">
        <v>2</v>
      </c>
      <c r="J33" s="85" t="s">
        <v>85</v>
      </c>
      <c r="K33" s="85" t="s">
        <v>85</v>
      </c>
      <c r="L33" s="12">
        <v>2</v>
      </c>
      <c r="M33" s="12">
        <v>2</v>
      </c>
      <c r="N33" s="12">
        <v>3</v>
      </c>
      <c r="O33" s="12">
        <v>2</v>
      </c>
      <c r="P33" s="12">
        <v>2</v>
      </c>
      <c r="Q33" s="85" t="s">
        <v>85</v>
      </c>
      <c r="R33" s="85" t="s">
        <v>85</v>
      </c>
      <c r="S33" s="12">
        <v>2</v>
      </c>
      <c r="T33" s="12">
        <v>2</v>
      </c>
      <c r="U33" s="12">
        <v>2</v>
      </c>
      <c r="V33" s="12">
        <v>2</v>
      </c>
      <c r="W33" s="12" t="s">
        <v>85</v>
      </c>
      <c r="X33" s="85" t="s">
        <v>85</v>
      </c>
      <c r="Y33" s="85" t="s">
        <v>85</v>
      </c>
      <c r="Z33" s="12">
        <v>3</v>
      </c>
      <c r="AA33" s="12">
        <v>3</v>
      </c>
      <c r="AB33" s="12">
        <v>3</v>
      </c>
      <c r="AC33" s="85" t="s">
        <v>85</v>
      </c>
      <c r="AD33" s="12">
        <v>3</v>
      </c>
      <c r="AE33" s="85" t="s">
        <v>85</v>
      </c>
      <c r="AF33" s="85" t="s">
        <v>85</v>
      </c>
      <c r="AG33" s="12">
        <v>2</v>
      </c>
      <c r="AH33" s="12">
        <v>2</v>
      </c>
      <c r="AI33" s="12">
        <v>2</v>
      </c>
      <c r="AJ33" s="12">
        <v>2</v>
      </c>
      <c r="AK33" s="12"/>
      <c r="AL33" s="15">
        <f t="shared" si="1"/>
        <v>45</v>
      </c>
      <c r="AM33" s="16"/>
      <c r="AN33" s="16"/>
      <c r="AO33" s="78">
        <f t="shared" si="0"/>
        <v>5</v>
      </c>
      <c r="AP33" s="5"/>
    </row>
    <row r="34" spans="1:42" s="32" customFormat="1" x14ac:dyDescent="0.25">
      <c r="A34" s="18">
        <v>27</v>
      </c>
      <c r="B34" s="19"/>
      <c r="C34" s="54">
        <v>287487</v>
      </c>
      <c r="D34" s="54">
        <v>38095704534</v>
      </c>
      <c r="E34" s="21" t="s">
        <v>72</v>
      </c>
      <c r="F34" s="20" t="s">
        <v>16</v>
      </c>
      <c r="G34" s="12">
        <v>2</v>
      </c>
      <c r="H34" s="12">
        <v>2</v>
      </c>
      <c r="I34" s="12">
        <v>2</v>
      </c>
      <c r="J34" s="85" t="s">
        <v>85</v>
      </c>
      <c r="K34" s="85" t="s">
        <v>85</v>
      </c>
      <c r="L34" s="12">
        <v>2</v>
      </c>
      <c r="M34" s="12">
        <v>3</v>
      </c>
      <c r="N34" s="12">
        <v>2</v>
      </c>
      <c r="O34" s="12">
        <v>2</v>
      </c>
      <c r="P34" s="12">
        <v>2</v>
      </c>
      <c r="Q34" s="85" t="s">
        <v>85</v>
      </c>
      <c r="R34" s="85" t="s">
        <v>85</v>
      </c>
      <c r="S34" s="12">
        <v>2</v>
      </c>
      <c r="T34" s="12">
        <v>2</v>
      </c>
      <c r="U34" s="12">
        <v>2</v>
      </c>
      <c r="V34" s="12">
        <v>2</v>
      </c>
      <c r="W34" s="12">
        <v>2</v>
      </c>
      <c r="X34" s="85" t="s">
        <v>85</v>
      </c>
      <c r="Y34" s="85" t="s">
        <v>85</v>
      </c>
      <c r="Z34" s="12">
        <v>3</v>
      </c>
      <c r="AA34" s="12">
        <v>3</v>
      </c>
      <c r="AB34" s="12">
        <v>3</v>
      </c>
      <c r="AC34" s="85" t="s">
        <v>85</v>
      </c>
      <c r="AD34" s="12">
        <v>3</v>
      </c>
      <c r="AE34" s="85" t="s">
        <v>85</v>
      </c>
      <c r="AF34" s="85" t="s">
        <v>85</v>
      </c>
      <c r="AG34" s="12">
        <v>2</v>
      </c>
      <c r="AH34" s="12">
        <v>2</v>
      </c>
      <c r="AI34" s="12" t="s">
        <v>85</v>
      </c>
      <c r="AJ34" s="12">
        <v>2</v>
      </c>
      <c r="AK34" s="12"/>
      <c r="AL34" s="15">
        <f t="shared" si="1"/>
        <v>45</v>
      </c>
      <c r="AM34" s="16"/>
      <c r="AN34" s="16"/>
      <c r="AO34" s="78">
        <f t="shared" si="0"/>
        <v>5</v>
      </c>
      <c r="AP34" s="5"/>
    </row>
    <row r="35" spans="1:42" s="32" customFormat="1" x14ac:dyDescent="0.25">
      <c r="A35" s="18">
        <v>28</v>
      </c>
      <c r="B35" s="19"/>
      <c r="C35" s="54">
        <v>168950</v>
      </c>
      <c r="D35" s="54">
        <v>10672102032</v>
      </c>
      <c r="E35" s="21" t="s">
        <v>71</v>
      </c>
      <c r="F35" s="20" t="s">
        <v>16</v>
      </c>
      <c r="G35" s="12">
        <v>3</v>
      </c>
      <c r="H35" s="12" t="s">
        <v>85</v>
      </c>
      <c r="I35" s="12" t="s">
        <v>85</v>
      </c>
      <c r="J35" s="85" t="s">
        <v>85</v>
      </c>
      <c r="K35" s="85" t="s">
        <v>85</v>
      </c>
      <c r="L35" s="12">
        <v>3</v>
      </c>
      <c r="M35" s="12">
        <v>3</v>
      </c>
      <c r="N35" s="12">
        <v>3</v>
      </c>
      <c r="O35" s="12" t="s">
        <v>85</v>
      </c>
      <c r="P35" s="12" t="s">
        <v>85</v>
      </c>
      <c r="Q35" s="85" t="s">
        <v>85</v>
      </c>
      <c r="R35" s="85" t="s">
        <v>85</v>
      </c>
      <c r="S35" s="12">
        <v>3</v>
      </c>
      <c r="T35" s="12">
        <v>3</v>
      </c>
      <c r="U35" s="12">
        <v>3</v>
      </c>
      <c r="V35" s="12" t="s">
        <v>85</v>
      </c>
      <c r="W35" s="12" t="s">
        <v>85</v>
      </c>
      <c r="X35" s="85" t="s">
        <v>85</v>
      </c>
      <c r="Y35" s="85" t="s">
        <v>85</v>
      </c>
      <c r="Z35" s="12">
        <v>3</v>
      </c>
      <c r="AA35" s="12">
        <v>3</v>
      </c>
      <c r="AB35" s="12">
        <v>3</v>
      </c>
      <c r="AC35" s="85" t="s">
        <v>85</v>
      </c>
      <c r="AD35" s="12" t="s">
        <v>85</v>
      </c>
      <c r="AE35" s="85">
        <v>2</v>
      </c>
      <c r="AF35" s="85">
        <v>4</v>
      </c>
      <c r="AG35" s="12">
        <v>3</v>
      </c>
      <c r="AH35" s="12">
        <v>3</v>
      </c>
      <c r="AI35" s="12">
        <v>3</v>
      </c>
      <c r="AJ35" s="12" t="s">
        <v>85</v>
      </c>
      <c r="AK35" s="12"/>
      <c r="AL35" s="15">
        <f t="shared" si="1"/>
        <v>45</v>
      </c>
      <c r="AM35" s="16"/>
      <c r="AN35" s="16"/>
      <c r="AO35" s="78"/>
      <c r="AP35" s="5"/>
    </row>
    <row r="36" spans="1:42" s="32" customFormat="1" x14ac:dyDescent="0.25">
      <c r="A36" s="18">
        <v>29</v>
      </c>
      <c r="B36" s="19"/>
      <c r="C36" s="54">
        <v>48249</v>
      </c>
      <c r="D36" s="54">
        <v>27752424946</v>
      </c>
      <c r="E36" s="21" t="s">
        <v>58</v>
      </c>
      <c r="F36" s="20" t="s">
        <v>31</v>
      </c>
      <c r="G36" s="12">
        <v>2</v>
      </c>
      <c r="H36" s="12">
        <v>2</v>
      </c>
      <c r="I36" s="12">
        <v>3</v>
      </c>
      <c r="J36" s="85" t="s">
        <v>85</v>
      </c>
      <c r="K36" s="85" t="s">
        <v>85</v>
      </c>
      <c r="L36" s="12">
        <v>3</v>
      </c>
      <c r="M36" s="12">
        <v>2</v>
      </c>
      <c r="N36" s="12">
        <v>2</v>
      </c>
      <c r="O36" s="12">
        <v>2</v>
      </c>
      <c r="P36" s="12">
        <v>2</v>
      </c>
      <c r="Q36" s="85" t="s">
        <v>85</v>
      </c>
      <c r="R36" s="85" t="s">
        <v>85</v>
      </c>
      <c r="S36" s="12">
        <v>3</v>
      </c>
      <c r="T36" s="12">
        <v>2</v>
      </c>
      <c r="U36" s="12">
        <v>2</v>
      </c>
      <c r="V36" s="12">
        <v>2</v>
      </c>
      <c r="W36" s="12">
        <v>2</v>
      </c>
      <c r="X36" s="85" t="s">
        <v>85</v>
      </c>
      <c r="Y36" s="85" t="s">
        <v>85</v>
      </c>
      <c r="Z36" s="12">
        <v>2</v>
      </c>
      <c r="AA36" s="12">
        <v>3</v>
      </c>
      <c r="AB36" s="12">
        <v>3</v>
      </c>
      <c r="AC36" s="85" t="s">
        <v>85</v>
      </c>
      <c r="AD36" s="12">
        <v>3</v>
      </c>
      <c r="AE36" s="85" t="s">
        <v>85</v>
      </c>
      <c r="AF36" s="85" t="s">
        <v>85</v>
      </c>
      <c r="AG36" s="12">
        <v>2</v>
      </c>
      <c r="AH36" s="12">
        <v>3</v>
      </c>
      <c r="AI36" s="12" t="s">
        <v>85</v>
      </c>
      <c r="AJ36" s="12" t="s">
        <v>85</v>
      </c>
      <c r="AK36" s="12"/>
      <c r="AL36" s="15">
        <f t="shared" si="1"/>
        <v>45</v>
      </c>
      <c r="AM36" s="16"/>
      <c r="AN36" s="16"/>
      <c r="AO36" s="78">
        <f t="shared" si="0"/>
        <v>5</v>
      </c>
      <c r="AP36" s="5"/>
    </row>
    <row r="37" spans="1:42" s="32" customFormat="1" x14ac:dyDescent="0.25">
      <c r="A37" s="18">
        <v>30</v>
      </c>
      <c r="B37" s="19"/>
      <c r="C37" s="54">
        <v>208272</v>
      </c>
      <c r="D37" s="54">
        <v>59095481034</v>
      </c>
      <c r="E37" s="21" t="s">
        <v>59</v>
      </c>
      <c r="F37" s="20" t="s">
        <v>31</v>
      </c>
      <c r="G37" s="12">
        <v>2</v>
      </c>
      <c r="H37" s="12">
        <v>2</v>
      </c>
      <c r="I37" s="12">
        <v>2</v>
      </c>
      <c r="J37" s="85" t="s">
        <v>85</v>
      </c>
      <c r="K37" s="85" t="s">
        <v>85</v>
      </c>
      <c r="L37" s="12">
        <v>2</v>
      </c>
      <c r="M37" s="12">
        <v>2</v>
      </c>
      <c r="N37" s="12">
        <v>2</v>
      </c>
      <c r="O37" s="12">
        <v>2</v>
      </c>
      <c r="P37" s="12">
        <v>2</v>
      </c>
      <c r="Q37" s="85" t="s">
        <v>85</v>
      </c>
      <c r="R37" s="85" t="s">
        <v>85</v>
      </c>
      <c r="S37" s="12">
        <v>2</v>
      </c>
      <c r="T37" s="12">
        <v>2</v>
      </c>
      <c r="U37" s="12">
        <v>2</v>
      </c>
      <c r="V37" s="12">
        <v>2</v>
      </c>
      <c r="W37" s="12">
        <v>2</v>
      </c>
      <c r="X37" s="85" t="s">
        <v>85</v>
      </c>
      <c r="Y37" s="85" t="s">
        <v>85</v>
      </c>
      <c r="Z37" s="12">
        <v>2</v>
      </c>
      <c r="AA37" s="12">
        <v>3</v>
      </c>
      <c r="AB37" s="12">
        <v>3</v>
      </c>
      <c r="AC37" s="85" t="s">
        <v>85</v>
      </c>
      <c r="AD37" s="12">
        <v>3</v>
      </c>
      <c r="AE37" s="85" t="s">
        <v>85</v>
      </c>
      <c r="AF37" s="85" t="s">
        <v>85</v>
      </c>
      <c r="AG37" s="12">
        <v>2</v>
      </c>
      <c r="AH37" s="12">
        <v>2</v>
      </c>
      <c r="AI37" s="12">
        <v>2</v>
      </c>
      <c r="AJ37" s="12">
        <v>2</v>
      </c>
      <c r="AK37" s="12"/>
      <c r="AL37" s="15">
        <f t="shared" si="1"/>
        <v>45</v>
      </c>
      <c r="AM37" s="16"/>
      <c r="AN37" s="16"/>
      <c r="AO37" s="78">
        <f t="shared" si="0"/>
        <v>5</v>
      </c>
      <c r="AP37" s="5"/>
    </row>
    <row r="38" spans="1:42" s="32" customFormat="1" x14ac:dyDescent="0.25">
      <c r="A38" s="18">
        <v>31</v>
      </c>
      <c r="B38" s="19"/>
      <c r="C38" s="54">
        <v>271395</v>
      </c>
      <c r="D38" s="54">
        <v>31919154508</v>
      </c>
      <c r="E38" s="21" t="s">
        <v>65</v>
      </c>
      <c r="F38" s="20" t="s">
        <v>31</v>
      </c>
      <c r="G38" s="12">
        <v>2</v>
      </c>
      <c r="H38" s="12">
        <v>2</v>
      </c>
      <c r="I38" s="12">
        <v>2</v>
      </c>
      <c r="J38" s="85" t="s">
        <v>85</v>
      </c>
      <c r="K38" s="85" t="s">
        <v>85</v>
      </c>
      <c r="L38" s="12">
        <v>2</v>
      </c>
      <c r="M38" s="12">
        <v>2</v>
      </c>
      <c r="N38" s="12">
        <v>2</v>
      </c>
      <c r="O38" s="12">
        <v>2</v>
      </c>
      <c r="P38" s="12">
        <v>2</v>
      </c>
      <c r="Q38" s="85" t="s">
        <v>85</v>
      </c>
      <c r="R38" s="85" t="s">
        <v>85</v>
      </c>
      <c r="S38" s="12">
        <v>2</v>
      </c>
      <c r="T38" s="12">
        <v>2</v>
      </c>
      <c r="U38" s="12">
        <v>2</v>
      </c>
      <c r="V38" s="12">
        <v>2</v>
      </c>
      <c r="W38" s="12">
        <v>2</v>
      </c>
      <c r="X38" s="85" t="s">
        <v>85</v>
      </c>
      <c r="Y38" s="85" t="s">
        <v>85</v>
      </c>
      <c r="Z38" s="12">
        <v>2</v>
      </c>
      <c r="AA38" s="12">
        <v>3</v>
      </c>
      <c r="AB38" s="12">
        <v>3</v>
      </c>
      <c r="AC38" s="85" t="s">
        <v>85</v>
      </c>
      <c r="AD38" s="12">
        <v>3</v>
      </c>
      <c r="AE38" s="85" t="s">
        <v>85</v>
      </c>
      <c r="AF38" s="85" t="s">
        <v>85</v>
      </c>
      <c r="AG38" s="12">
        <v>2</v>
      </c>
      <c r="AH38" s="12">
        <v>2</v>
      </c>
      <c r="AI38" s="12">
        <v>2</v>
      </c>
      <c r="AJ38" s="12">
        <v>2</v>
      </c>
      <c r="AK38" s="12"/>
      <c r="AL38" s="15">
        <f t="shared" si="1"/>
        <v>45</v>
      </c>
      <c r="AM38" s="16"/>
      <c r="AN38" s="16"/>
      <c r="AO38" s="78">
        <f t="shared" si="0"/>
        <v>5</v>
      </c>
      <c r="AP38" s="5"/>
    </row>
    <row r="39" spans="1:42" s="32" customFormat="1" x14ac:dyDescent="0.25">
      <c r="A39" s="18">
        <v>32</v>
      </c>
      <c r="B39" s="19"/>
      <c r="C39" s="54">
        <v>48181</v>
      </c>
      <c r="D39" s="54">
        <v>12427088608</v>
      </c>
      <c r="E39" s="54" t="s">
        <v>81</v>
      </c>
      <c r="F39" s="79" t="s">
        <v>16</v>
      </c>
      <c r="G39" s="12" t="s">
        <v>85</v>
      </c>
      <c r="H39" s="12" t="s">
        <v>85</v>
      </c>
      <c r="I39" s="12" t="s">
        <v>85</v>
      </c>
      <c r="J39" s="85">
        <v>5</v>
      </c>
      <c r="K39" s="85">
        <v>5</v>
      </c>
      <c r="L39" s="12">
        <v>2</v>
      </c>
      <c r="M39" s="12">
        <v>2</v>
      </c>
      <c r="N39" s="12">
        <v>3</v>
      </c>
      <c r="O39" s="12">
        <v>3</v>
      </c>
      <c r="P39" s="12">
        <v>3</v>
      </c>
      <c r="Q39" s="85" t="s">
        <v>85</v>
      </c>
      <c r="R39" s="85" t="s">
        <v>85</v>
      </c>
      <c r="S39" s="12" t="s">
        <v>85</v>
      </c>
      <c r="T39" s="12" t="s">
        <v>85</v>
      </c>
      <c r="U39" s="12" t="s">
        <v>85</v>
      </c>
      <c r="V39" s="12" t="s">
        <v>85</v>
      </c>
      <c r="W39" s="12" t="s">
        <v>85</v>
      </c>
      <c r="X39" s="85">
        <v>5</v>
      </c>
      <c r="Y39" s="85">
        <v>5</v>
      </c>
      <c r="Z39" s="12">
        <v>3</v>
      </c>
      <c r="AA39" s="12">
        <v>3</v>
      </c>
      <c r="AB39" s="12">
        <v>3</v>
      </c>
      <c r="AC39" s="85" t="s">
        <v>85</v>
      </c>
      <c r="AD39" s="12">
        <v>3</v>
      </c>
      <c r="AE39" s="85" t="s">
        <v>85</v>
      </c>
      <c r="AF39" s="85" t="s">
        <v>85</v>
      </c>
      <c r="AG39" s="12" t="s">
        <v>85</v>
      </c>
      <c r="AH39" s="12" t="s">
        <v>85</v>
      </c>
      <c r="AI39" s="12" t="s">
        <v>85</v>
      </c>
      <c r="AJ39" s="12" t="s">
        <v>85</v>
      </c>
      <c r="AK39" s="12"/>
      <c r="AL39" s="15">
        <f t="shared" si="1"/>
        <v>45</v>
      </c>
      <c r="AM39" s="16"/>
      <c r="AN39" s="16"/>
      <c r="AO39" s="78"/>
      <c r="AP39" s="5"/>
    </row>
    <row r="40" spans="1:42" s="32" customFormat="1" x14ac:dyDescent="0.25">
      <c r="A40" s="18">
        <v>33</v>
      </c>
      <c r="B40" s="19"/>
      <c r="C40" s="54">
        <v>125837</v>
      </c>
      <c r="D40" s="54">
        <v>23699201800</v>
      </c>
      <c r="E40" s="21" t="s">
        <v>82</v>
      </c>
      <c r="F40" s="79" t="s">
        <v>16</v>
      </c>
      <c r="G40" s="12">
        <v>3</v>
      </c>
      <c r="H40" s="12">
        <v>2</v>
      </c>
      <c r="I40" s="12">
        <v>2</v>
      </c>
      <c r="J40" s="85" t="s">
        <v>85</v>
      </c>
      <c r="K40" s="85" t="s">
        <v>85</v>
      </c>
      <c r="L40" s="12" t="s">
        <v>85</v>
      </c>
      <c r="M40" s="12" t="s">
        <v>85</v>
      </c>
      <c r="N40" s="12" t="s">
        <v>85</v>
      </c>
      <c r="O40" s="12" t="s">
        <v>85</v>
      </c>
      <c r="P40" s="12" t="s">
        <v>85</v>
      </c>
      <c r="Q40" s="85">
        <v>5</v>
      </c>
      <c r="R40" s="85">
        <v>5</v>
      </c>
      <c r="S40" s="12">
        <v>2</v>
      </c>
      <c r="T40" s="12">
        <v>2</v>
      </c>
      <c r="U40" s="12">
        <v>2</v>
      </c>
      <c r="V40" s="12">
        <v>2</v>
      </c>
      <c r="W40" s="12">
        <v>2</v>
      </c>
      <c r="X40" s="85" t="s">
        <v>85</v>
      </c>
      <c r="Y40" s="85" t="s">
        <v>85</v>
      </c>
      <c r="Z40" s="12" t="s">
        <v>85</v>
      </c>
      <c r="AA40" s="12" t="s">
        <v>85</v>
      </c>
      <c r="AB40" s="12" t="s">
        <v>85</v>
      </c>
      <c r="AC40" s="85" t="s">
        <v>85</v>
      </c>
      <c r="AD40" s="12" t="s">
        <v>85</v>
      </c>
      <c r="AE40" s="85">
        <v>5</v>
      </c>
      <c r="AF40" s="85">
        <v>5</v>
      </c>
      <c r="AG40" s="12">
        <v>2</v>
      </c>
      <c r="AH40" s="12">
        <v>2</v>
      </c>
      <c r="AI40" s="12">
        <v>2</v>
      </c>
      <c r="AJ40" s="12">
        <v>2</v>
      </c>
      <c r="AK40" s="12"/>
      <c r="AL40" s="15">
        <f t="shared" si="1"/>
        <v>45</v>
      </c>
      <c r="AM40" s="16"/>
      <c r="AN40" s="16"/>
      <c r="AO40" s="78"/>
      <c r="AP40" s="5"/>
    </row>
    <row r="41" spans="1:42" s="32" customFormat="1" x14ac:dyDescent="0.25">
      <c r="A41" s="18">
        <v>34</v>
      </c>
      <c r="B41" s="19"/>
      <c r="C41" s="75">
        <v>155043</v>
      </c>
      <c r="D41" s="54">
        <v>24637954178</v>
      </c>
      <c r="E41" s="21" t="s">
        <v>83</v>
      </c>
      <c r="F41" s="79" t="s">
        <v>16</v>
      </c>
      <c r="G41" s="12">
        <v>3</v>
      </c>
      <c r="H41" s="12">
        <v>2</v>
      </c>
      <c r="I41" s="12">
        <v>2</v>
      </c>
      <c r="J41" s="85" t="s">
        <v>85</v>
      </c>
      <c r="K41" s="85" t="s">
        <v>85</v>
      </c>
      <c r="L41" s="12" t="s">
        <v>85</v>
      </c>
      <c r="M41" s="12" t="s">
        <v>85</v>
      </c>
      <c r="N41" s="12" t="s">
        <v>85</v>
      </c>
      <c r="O41" s="12" t="s">
        <v>85</v>
      </c>
      <c r="P41" s="12" t="s">
        <v>85</v>
      </c>
      <c r="Q41" s="85">
        <v>5</v>
      </c>
      <c r="R41" s="85">
        <v>5</v>
      </c>
      <c r="S41" s="12">
        <v>2</v>
      </c>
      <c r="T41" s="12">
        <v>2</v>
      </c>
      <c r="U41" s="12">
        <v>2</v>
      </c>
      <c r="V41" s="12">
        <v>2</v>
      </c>
      <c r="W41" s="12">
        <v>2</v>
      </c>
      <c r="X41" s="85" t="s">
        <v>85</v>
      </c>
      <c r="Y41" s="85" t="s">
        <v>85</v>
      </c>
      <c r="Z41" s="12" t="s">
        <v>85</v>
      </c>
      <c r="AA41" s="12" t="s">
        <v>85</v>
      </c>
      <c r="AB41" s="12" t="s">
        <v>85</v>
      </c>
      <c r="AC41" s="85" t="s">
        <v>85</v>
      </c>
      <c r="AD41" s="12" t="s">
        <v>85</v>
      </c>
      <c r="AE41" s="85">
        <v>5</v>
      </c>
      <c r="AF41" s="85">
        <v>5</v>
      </c>
      <c r="AG41" s="12">
        <v>2</v>
      </c>
      <c r="AH41" s="12">
        <v>2</v>
      </c>
      <c r="AI41" s="12">
        <v>2</v>
      </c>
      <c r="AJ41" s="12">
        <v>2</v>
      </c>
      <c r="AK41" s="12"/>
      <c r="AL41" s="15">
        <f t="shared" si="1"/>
        <v>45</v>
      </c>
      <c r="AM41" s="16"/>
      <c r="AN41" s="16"/>
      <c r="AO41" s="78"/>
      <c r="AP41" s="5"/>
    </row>
    <row r="42" spans="1:42" s="32" customFormat="1" x14ac:dyDescent="0.25">
      <c r="A42" s="18">
        <v>35</v>
      </c>
      <c r="B42" s="19"/>
      <c r="C42" s="75">
        <v>116479</v>
      </c>
      <c r="D42" s="54">
        <v>60505022976</v>
      </c>
      <c r="E42" s="21" t="s">
        <v>84</v>
      </c>
      <c r="F42" s="79" t="s">
        <v>16</v>
      </c>
      <c r="G42" s="12" t="s">
        <v>85</v>
      </c>
      <c r="H42" s="12" t="s">
        <v>85</v>
      </c>
      <c r="I42" s="12" t="s">
        <v>85</v>
      </c>
      <c r="J42" s="85">
        <v>5</v>
      </c>
      <c r="K42" s="85">
        <v>5</v>
      </c>
      <c r="L42" s="12">
        <v>2</v>
      </c>
      <c r="M42" s="12">
        <v>2</v>
      </c>
      <c r="N42" s="12">
        <v>3</v>
      </c>
      <c r="O42" s="12">
        <v>3</v>
      </c>
      <c r="P42" s="12">
        <v>3</v>
      </c>
      <c r="Q42" s="85" t="s">
        <v>85</v>
      </c>
      <c r="R42" s="85" t="s">
        <v>85</v>
      </c>
      <c r="S42" s="12" t="s">
        <v>85</v>
      </c>
      <c r="T42" s="12" t="s">
        <v>85</v>
      </c>
      <c r="U42" s="12" t="s">
        <v>85</v>
      </c>
      <c r="V42" s="12" t="s">
        <v>85</v>
      </c>
      <c r="W42" s="12" t="s">
        <v>85</v>
      </c>
      <c r="X42" s="85">
        <v>5</v>
      </c>
      <c r="Y42" s="85">
        <v>5</v>
      </c>
      <c r="Z42" s="12">
        <v>3</v>
      </c>
      <c r="AA42" s="12">
        <v>3</v>
      </c>
      <c r="AB42" s="12">
        <v>3</v>
      </c>
      <c r="AC42" s="85" t="s">
        <v>85</v>
      </c>
      <c r="AD42" s="12">
        <v>3</v>
      </c>
      <c r="AE42" s="85" t="s">
        <v>85</v>
      </c>
      <c r="AF42" s="85" t="s">
        <v>85</v>
      </c>
      <c r="AG42" s="12" t="s">
        <v>85</v>
      </c>
      <c r="AH42" s="12" t="s">
        <v>85</v>
      </c>
      <c r="AI42" s="12" t="s">
        <v>85</v>
      </c>
      <c r="AJ42" s="12" t="s">
        <v>85</v>
      </c>
      <c r="AK42" s="12"/>
      <c r="AL42" s="15">
        <f t="shared" si="1"/>
        <v>45</v>
      </c>
      <c r="AM42" s="16"/>
      <c r="AN42" s="16"/>
      <c r="AO42" s="78"/>
      <c r="AP42" s="5"/>
    </row>
    <row r="43" spans="1:42" s="32" customFormat="1" x14ac:dyDescent="0.25">
      <c r="A43" s="18">
        <v>36</v>
      </c>
      <c r="B43" s="19"/>
      <c r="C43" s="75">
        <v>304750</v>
      </c>
      <c r="D43" s="54">
        <v>39448100010</v>
      </c>
      <c r="E43" s="21" t="s">
        <v>88</v>
      </c>
      <c r="F43" s="79" t="s">
        <v>16</v>
      </c>
      <c r="G43" s="12">
        <v>2</v>
      </c>
      <c r="H43" s="12">
        <v>2</v>
      </c>
      <c r="I43" s="12">
        <v>2</v>
      </c>
      <c r="J43" s="85" t="s">
        <v>85</v>
      </c>
      <c r="K43" s="85" t="s">
        <v>85</v>
      </c>
      <c r="L43" s="12">
        <v>2</v>
      </c>
      <c r="M43" s="12">
        <v>2</v>
      </c>
      <c r="N43" s="12">
        <v>2</v>
      </c>
      <c r="O43" s="12">
        <v>2</v>
      </c>
      <c r="P43" s="12">
        <v>2</v>
      </c>
      <c r="Q43" s="85" t="s">
        <v>85</v>
      </c>
      <c r="R43" s="85" t="s">
        <v>85</v>
      </c>
      <c r="S43" s="12">
        <v>2</v>
      </c>
      <c r="T43" s="12">
        <v>2</v>
      </c>
      <c r="U43" s="12">
        <v>2</v>
      </c>
      <c r="V43" s="12">
        <v>2</v>
      </c>
      <c r="W43" s="12">
        <v>2</v>
      </c>
      <c r="X43" s="85" t="s">
        <v>85</v>
      </c>
      <c r="Y43" s="85" t="s">
        <v>85</v>
      </c>
      <c r="Z43" s="12">
        <v>2</v>
      </c>
      <c r="AA43" s="12">
        <v>3</v>
      </c>
      <c r="AB43" s="12">
        <v>3</v>
      </c>
      <c r="AC43" s="85" t="s">
        <v>85</v>
      </c>
      <c r="AD43" s="12">
        <v>3</v>
      </c>
      <c r="AE43" s="85" t="s">
        <v>85</v>
      </c>
      <c r="AF43" s="85" t="s">
        <v>85</v>
      </c>
      <c r="AG43" s="12">
        <v>2</v>
      </c>
      <c r="AH43" s="12">
        <v>2</v>
      </c>
      <c r="AI43" s="12">
        <v>2</v>
      </c>
      <c r="AJ43" s="12">
        <v>2</v>
      </c>
      <c r="AK43" s="12"/>
      <c r="AL43" s="15">
        <f t="shared" si="1"/>
        <v>45</v>
      </c>
      <c r="AM43" s="16"/>
      <c r="AN43" s="16"/>
      <c r="AO43" s="78"/>
      <c r="AP43" s="5"/>
    </row>
    <row r="44" spans="1:42" s="32" customFormat="1" x14ac:dyDescent="0.25">
      <c r="A44" s="18">
        <v>37</v>
      </c>
      <c r="B44" s="19"/>
      <c r="C44" s="75">
        <v>284914</v>
      </c>
      <c r="D44" s="54">
        <v>73768061132</v>
      </c>
      <c r="E44" s="21" t="s">
        <v>92</v>
      </c>
      <c r="F44" s="79" t="s">
        <v>31</v>
      </c>
      <c r="G44" s="12"/>
      <c r="H44" s="12"/>
      <c r="I44" s="12"/>
      <c r="J44" s="85" t="s">
        <v>85</v>
      </c>
      <c r="K44" s="85" t="s">
        <v>85</v>
      </c>
      <c r="L44" s="12"/>
      <c r="M44" s="12"/>
      <c r="N44" s="12"/>
      <c r="O44" s="12"/>
      <c r="P44" s="12"/>
      <c r="Q44" s="85" t="s">
        <v>85</v>
      </c>
      <c r="R44" s="85" t="s">
        <v>85</v>
      </c>
      <c r="S44" s="12"/>
      <c r="T44" s="12"/>
      <c r="U44" s="12">
        <v>3</v>
      </c>
      <c r="V44" s="12">
        <v>3</v>
      </c>
      <c r="W44" s="12">
        <v>3</v>
      </c>
      <c r="X44" s="85">
        <v>3</v>
      </c>
      <c r="Y44" s="85" t="s">
        <v>85</v>
      </c>
      <c r="Z44" s="12">
        <v>3</v>
      </c>
      <c r="AA44" s="12">
        <v>3</v>
      </c>
      <c r="AB44" s="12">
        <v>3</v>
      </c>
      <c r="AC44" s="85" t="s">
        <v>85</v>
      </c>
      <c r="AD44" s="12">
        <v>3</v>
      </c>
      <c r="AE44" s="85">
        <v>4</v>
      </c>
      <c r="AF44" s="85">
        <v>5</v>
      </c>
      <c r="AG44" s="12">
        <v>3</v>
      </c>
      <c r="AH44" s="12">
        <v>3</v>
      </c>
      <c r="AI44" s="12">
        <v>3</v>
      </c>
      <c r="AJ44" s="12">
        <v>3</v>
      </c>
      <c r="AK44" s="12"/>
      <c r="AL44" s="15">
        <f t="shared" si="1"/>
        <v>45</v>
      </c>
      <c r="AM44" s="16"/>
      <c r="AN44" s="16"/>
      <c r="AO44" s="78"/>
      <c r="AP44" s="5"/>
    </row>
    <row r="45" spans="1:42" s="32" customFormat="1" x14ac:dyDescent="0.25">
      <c r="A45" s="18">
        <v>38</v>
      </c>
      <c r="B45" s="19"/>
      <c r="C45" s="75">
        <v>210222</v>
      </c>
      <c r="D45" s="54">
        <v>10429440486</v>
      </c>
      <c r="E45" s="21" t="s">
        <v>75</v>
      </c>
      <c r="F45" s="20" t="s">
        <v>29</v>
      </c>
      <c r="G45" s="12">
        <v>2</v>
      </c>
      <c r="H45" s="12">
        <v>2</v>
      </c>
      <c r="I45" s="12">
        <v>2</v>
      </c>
      <c r="J45" s="85" t="s">
        <v>85</v>
      </c>
      <c r="K45" s="85" t="s">
        <v>85</v>
      </c>
      <c r="L45" s="12">
        <v>2</v>
      </c>
      <c r="M45" s="12">
        <v>2</v>
      </c>
      <c r="N45" s="12">
        <v>2</v>
      </c>
      <c r="O45" s="12">
        <v>2</v>
      </c>
      <c r="P45" s="12">
        <v>2</v>
      </c>
      <c r="Q45" s="85" t="s">
        <v>85</v>
      </c>
      <c r="R45" s="85" t="s">
        <v>85</v>
      </c>
      <c r="S45" s="12">
        <v>2</v>
      </c>
      <c r="T45" s="12">
        <v>2</v>
      </c>
      <c r="U45" s="12">
        <v>2</v>
      </c>
      <c r="V45" s="12">
        <v>2</v>
      </c>
      <c r="W45" s="12">
        <v>2</v>
      </c>
      <c r="X45" s="85" t="s">
        <v>85</v>
      </c>
      <c r="Y45" s="85" t="s">
        <v>85</v>
      </c>
      <c r="Z45" s="12">
        <v>2</v>
      </c>
      <c r="AA45" s="12">
        <v>3</v>
      </c>
      <c r="AB45" s="12">
        <v>3</v>
      </c>
      <c r="AC45" s="85" t="s">
        <v>85</v>
      </c>
      <c r="AD45" s="12">
        <v>3</v>
      </c>
      <c r="AE45" s="85" t="s">
        <v>85</v>
      </c>
      <c r="AF45" s="85" t="s">
        <v>85</v>
      </c>
      <c r="AG45" s="12">
        <v>2</v>
      </c>
      <c r="AH45" s="12">
        <v>2</v>
      </c>
      <c r="AI45" s="12">
        <v>2</v>
      </c>
      <c r="AJ45" s="12">
        <v>2</v>
      </c>
      <c r="AK45" s="12"/>
      <c r="AL45" s="15">
        <f t="shared" si="1"/>
        <v>45</v>
      </c>
      <c r="AM45" s="16"/>
      <c r="AN45" s="16"/>
      <c r="AO45" s="78">
        <f t="shared" si="0"/>
        <v>5</v>
      </c>
      <c r="AP45" s="5"/>
    </row>
    <row r="46" spans="1:42" s="32" customFormat="1" x14ac:dyDescent="0.25">
      <c r="A46" s="18">
        <v>39</v>
      </c>
      <c r="B46" s="19"/>
      <c r="C46" s="75">
        <v>229947</v>
      </c>
      <c r="D46" s="54">
        <v>25460594678</v>
      </c>
      <c r="E46" s="21" t="s">
        <v>76</v>
      </c>
      <c r="F46" s="20" t="s">
        <v>29</v>
      </c>
      <c r="G46" s="12">
        <v>2</v>
      </c>
      <c r="H46" s="12">
        <v>2</v>
      </c>
      <c r="I46" s="12">
        <v>2</v>
      </c>
      <c r="J46" s="85" t="s">
        <v>85</v>
      </c>
      <c r="K46" s="85" t="s">
        <v>85</v>
      </c>
      <c r="L46" s="12">
        <v>2</v>
      </c>
      <c r="M46" s="12">
        <v>2</v>
      </c>
      <c r="N46" s="12">
        <v>2</v>
      </c>
      <c r="O46" s="12">
        <v>2</v>
      </c>
      <c r="P46" s="12">
        <v>2</v>
      </c>
      <c r="Q46" s="85" t="s">
        <v>85</v>
      </c>
      <c r="R46" s="85" t="s">
        <v>85</v>
      </c>
      <c r="S46" s="12">
        <v>2</v>
      </c>
      <c r="T46" s="12">
        <v>2</v>
      </c>
      <c r="U46" s="12">
        <v>2</v>
      </c>
      <c r="V46" s="12">
        <v>2</v>
      </c>
      <c r="W46" s="12">
        <v>2</v>
      </c>
      <c r="X46" s="85" t="s">
        <v>85</v>
      </c>
      <c r="Y46" s="85" t="s">
        <v>85</v>
      </c>
      <c r="Z46" s="12">
        <v>2</v>
      </c>
      <c r="AA46" s="12">
        <v>3</v>
      </c>
      <c r="AB46" s="12">
        <v>3</v>
      </c>
      <c r="AC46" s="85" t="s">
        <v>85</v>
      </c>
      <c r="AD46" s="12">
        <v>3</v>
      </c>
      <c r="AE46" s="85" t="s">
        <v>85</v>
      </c>
      <c r="AF46" s="85" t="s">
        <v>85</v>
      </c>
      <c r="AG46" s="12">
        <v>2</v>
      </c>
      <c r="AH46" s="12">
        <v>2</v>
      </c>
      <c r="AI46" s="12">
        <v>2</v>
      </c>
      <c r="AJ46" s="12">
        <v>2</v>
      </c>
      <c r="AK46" s="12"/>
      <c r="AL46" s="15">
        <f t="shared" si="1"/>
        <v>45</v>
      </c>
      <c r="AM46" s="16"/>
      <c r="AN46" s="16"/>
      <c r="AO46" s="78">
        <f t="shared" si="0"/>
        <v>5</v>
      </c>
      <c r="AP46" s="5"/>
    </row>
    <row r="47" spans="1:42" s="32" customFormat="1" x14ac:dyDescent="0.25">
      <c r="A47" s="9"/>
      <c r="B47" s="90"/>
      <c r="C47" s="109" t="s">
        <v>7</v>
      </c>
      <c r="D47" s="109"/>
      <c r="E47" s="109"/>
      <c r="F47" s="66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</row>
    <row r="48" spans="1:42" s="32" customFormat="1" x14ac:dyDescent="0.25">
      <c r="A48" s="9"/>
      <c r="B48" s="90"/>
      <c r="C48" s="109" t="s">
        <v>8</v>
      </c>
      <c r="D48" s="109"/>
      <c r="E48" s="109"/>
      <c r="F48" s="66"/>
      <c r="G48" s="110" t="s">
        <v>21</v>
      </c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  <c r="AD48" s="110"/>
      <c r="AE48" s="110"/>
      <c r="AF48" s="110"/>
      <c r="AG48" s="110"/>
      <c r="AH48" s="110"/>
      <c r="AI48" s="110"/>
      <c r="AJ48" s="110"/>
      <c r="AK48" s="110"/>
      <c r="AL48" s="110"/>
      <c r="AM48" s="110"/>
      <c r="AN48" s="110"/>
    </row>
    <row r="49" spans="1:40" s="32" customFormat="1" x14ac:dyDescent="0.25">
      <c r="A49" s="55" t="s">
        <v>21</v>
      </c>
      <c r="B49" s="35" t="s">
        <v>21</v>
      </c>
      <c r="C49" s="35" t="s">
        <v>21</v>
      </c>
      <c r="D49" s="35" t="s">
        <v>21</v>
      </c>
      <c r="E49" s="36" t="s">
        <v>21</v>
      </c>
      <c r="F49" s="37"/>
      <c r="G49" s="37"/>
      <c r="H49" s="37"/>
      <c r="I49" s="37"/>
      <c r="J49" s="37"/>
      <c r="K49" s="111" t="s">
        <v>9</v>
      </c>
      <c r="L49" s="111"/>
      <c r="M49" s="111"/>
      <c r="N49" s="111"/>
      <c r="O49" s="111"/>
      <c r="P49" s="111"/>
      <c r="Q49" s="111"/>
      <c r="R49" s="111"/>
      <c r="S49" s="37"/>
      <c r="T49" s="37"/>
      <c r="U49" s="111"/>
      <c r="V49" s="111"/>
      <c r="W49" s="111"/>
      <c r="X49" s="111"/>
      <c r="Y49" s="111"/>
      <c r="Z49" s="111"/>
      <c r="AA49" s="111"/>
      <c r="AB49" s="111"/>
      <c r="AD49" s="37"/>
      <c r="AE49" s="112" t="s">
        <v>10</v>
      </c>
      <c r="AF49" s="112"/>
      <c r="AG49" s="112"/>
      <c r="AH49" s="112"/>
      <c r="AI49" s="112"/>
      <c r="AJ49" s="112"/>
      <c r="AK49" s="112"/>
      <c r="AL49" s="112"/>
      <c r="AM49" s="112"/>
      <c r="AN49" s="112"/>
    </row>
    <row r="50" spans="1:40" s="32" customFormat="1" x14ac:dyDescent="0.25">
      <c r="A50" s="55" t="s">
        <v>21</v>
      </c>
      <c r="B50" s="35" t="s">
        <v>21</v>
      </c>
      <c r="C50" s="35" t="s">
        <v>21</v>
      </c>
      <c r="D50" s="35" t="s">
        <v>21</v>
      </c>
      <c r="E50" s="38"/>
      <c r="F50" s="39"/>
      <c r="G50" s="113" t="s">
        <v>11</v>
      </c>
      <c r="H50" s="113"/>
      <c r="I50" s="113"/>
      <c r="J50" s="113"/>
      <c r="K50" s="111" t="s">
        <v>36</v>
      </c>
      <c r="L50" s="111"/>
      <c r="M50" s="111"/>
      <c r="N50" s="111"/>
      <c r="O50" s="111"/>
      <c r="P50" s="111"/>
      <c r="Q50" s="111"/>
      <c r="R50" s="111"/>
      <c r="S50" s="37"/>
      <c r="T50" s="37"/>
      <c r="U50" s="111"/>
      <c r="V50" s="111"/>
      <c r="W50" s="111"/>
      <c r="X50" s="111"/>
      <c r="Y50" s="111"/>
      <c r="Z50" s="111"/>
      <c r="AA50" s="111"/>
      <c r="AB50" s="111"/>
      <c r="AC50" s="37"/>
      <c r="AD50" s="37"/>
      <c r="AE50" s="114" t="s">
        <v>39</v>
      </c>
      <c r="AF50" s="114"/>
      <c r="AG50" s="114"/>
      <c r="AH50" s="114"/>
      <c r="AI50" s="114"/>
      <c r="AJ50" s="114"/>
      <c r="AK50" s="114"/>
      <c r="AL50" s="114"/>
      <c r="AM50" s="114"/>
      <c r="AN50" s="114"/>
    </row>
    <row r="51" spans="1:40" s="32" customFormat="1" x14ac:dyDescent="0.25">
      <c r="A51" s="55"/>
      <c r="B51" s="35"/>
      <c r="C51" s="35"/>
      <c r="D51" s="35"/>
      <c r="E51" s="38"/>
      <c r="F51" s="39"/>
      <c r="G51" s="113" t="s">
        <v>12</v>
      </c>
      <c r="H51" s="113"/>
      <c r="I51" s="113"/>
      <c r="J51" s="113"/>
      <c r="K51" s="111" t="s">
        <v>13</v>
      </c>
      <c r="L51" s="111"/>
      <c r="M51" s="111"/>
      <c r="N51" s="111"/>
      <c r="O51" s="111"/>
      <c r="P51" s="111"/>
      <c r="Q51" s="111"/>
      <c r="R51" s="111"/>
      <c r="S51" s="37"/>
      <c r="T51" s="37"/>
      <c r="U51" s="111"/>
      <c r="V51" s="111"/>
      <c r="W51" s="111"/>
      <c r="X51" s="111"/>
      <c r="Y51" s="111"/>
      <c r="Z51" s="111"/>
      <c r="AA51" s="111"/>
      <c r="AB51" s="111"/>
      <c r="AC51" s="40"/>
      <c r="AD51" s="40"/>
      <c r="AE51" s="114" t="s">
        <v>35</v>
      </c>
      <c r="AF51" s="114"/>
      <c r="AG51" s="114"/>
      <c r="AH51" s="114"/>
      <c r="AI51" s="114"/>
      <c r="AJ51" s="114"/>
      <c r="AK51" s="114"/>
      <c r="AL51" s="114"/>
      <c r="AM51" s="114"/>
      <c r="AN51" s="114"/>
    </row>
    <row r="52" spans="1:40" s="32" customFormat="1" x14ac:dyDescent="0.25">
      <c r="A52" s="55"/>
      <c r="B52" s="35"/>
      <c r="C52" s="35"/>
      <c r="D52" s="35"/>
      <c r="E52" s="38"/>
      <c r="F52" s="39"/>
      <c r="G52" s="113" t="s">
        <v>15</v>
      </c>
      <c r="H52" s="113"/>
      <c r="I52" s="113"/>
      <c r="J52" s="113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41"/>
      <c r="V52" s="41"/>
      <c r="W52" s="30"/>
      <c r="X52" s="30"/>
      <c r="Y52" s="30"/>
      <c r="Z52" s="30"/>
      <c r="AA52" s="30"/>
      <c r="AB52" s="30"/>
      <c r="AC52" s="30"/>
      <c r="AD52" s="30"/>
      <c r="AE52" s="30"/>
      <c r="AF52" s="41"/>
      <c r="AG52" s="41"/>
      <c r="AH52" s="41"/>
      <c r="AI52" s="41"/>
      <c r="AJ52" s="41"/>
      <c r="AK52" s="41"/>
      <c r="AL52" s="30"/>
      <c r="AM52" s="30"/>
      <c r="AN52" s="42"/>
    </row>
    <row r="53" spans="1:40" s="32" customFormat="1" x14ac:dyDescent="0.25">
      <c r="A53" s="43"/>
      <c r="B53" s="45"/>
      <c r="C53" s="46"/>
      <c r="D53" s="46"/>
      <c r="E53" s="47"/>
      <c r="F53" s="44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48"/>
    </row>
    <row r="55" spans="1:40" s="32" customFormat="1" x14ac:dyDescent="0.25">
      <c r="A55" s="67"/>
      <c r="B55" s="67"/>
      <c r="C55" s="68"/>
      <c r="D55" s="69"/>
      <c r="E55" s="68"/>
      <c r="F55" s="27"/>
      <c r="G55" s="27"/>
      <c r="H55" s="27"/>
      <c r="I55" s="27"/>
      <c r="J55" s="86"/>
      <c r="K55" s="86"/>
      <c r="Q55" s="87"/>
      <c r="R55" s="87"/>
      <c r="X55" s="87"/>
      <c r="Y55" s="87"/>
      <c r="AC55" s="87"/>
      <c r="AE55" s="87"/>
      <c r="AF55" s="87"/>
    </row>
    <row r="1353" spans="21:21" x14ac:dyDescent="0.25">
      <c r="U1353" s="32" t="s">
        <v>91</v>
      </c>
    </row>
  </sheetData>
  <mergeCells count="24">
    <mergeCell ref="G51:J51"/>
    <mergeCell ref="K51:R51"/>
    <mergeCell ref="U51:AB51"/>
    <mergeCell ref="AE51:AN51"/>
    <mergeCell ref="G52:J52"/>
    <mergeCell ref="K49:R49"/>
    <mergeCell ref="U49:AB49"/>
    <mergeCell ref="AE49:AN49"/>
    <mergeCell ref="G50:J50"/>
    <mergeCell ref="K50:R50"/>
    <mergeCell ref="U50:AB50"/>
    <mergeCell ref="AE50:AN50"/>
    <mergeCell ref="A6:D6"/>
    <mergeCell ref="G6:AK6"/>
    <mergeCell ref="C47:E47"/>
    <mergeCell ref="G47:AN47"/>
    <mergeCell ref="C48:E48"/>
    <mergeCell ref="G48:AN48"/>
    <mergeCell ref="A1:AN2"/>
    <mergeCell ref="A4:B5"/>
    <mergeCell ref="C4:E4"/>
    <mergeCell ref="G4:AK5"/>
    <mergeCell ref="AL4:AN5"/>
    <mergeCell ref="C5:E5"/>
  </mergeCells>
  <printOptions horizontalCentered="1"/>
  <pageMargins left="0" right="0" top="0.31496062992125984" bottom="0.27559055118110237" header="0.51181102362204722" footer="0.51181102362204722"/>
  <pageSetup paperSize="9" scale="70" firstPageNumber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83AE7-9A87-4DBB-8B84-2C1F4DD688AD}">
  <dimension ref="A1:IS55"/>
  <sheetViews>
    <sheetView topLeftCell="A4" zoomScale="130" zoomScaleNormal="130" workbookViewId="0">
      <pane xSplit="6" ySplit="4" topLeftCell="G8" activePane="bottomRight" state="frozen"/>
      <selection activeCell="A4" sqref="A4"/>
      <selection pane="topRight" activeCell="H4" sqref="H4"/>
      <selection pane="bottomLeft" activeCell="A9" sqref="A9"/>
      <selection pane="bottomRight" activeCell="D20" sqref="D20"/>
    </sheetView>
  </sheetViews>
  <sheetFormatPr defaultRowHeight="15" x14ac:dyDescent="0.25"/>
  <cols>
    <col min="1" max="1" width="7.28515625" style="67" customWidth="1"/>
    <col min="2" max="2" width="3" style="67" hidden="1" customWidth="1"/>
    <col min="3" max="3" width="10.42578125" style="69" customWidth="1"/>
    <col min="4" max="4" width="14.140625" style="69" customWidth="1"/>
    <col min="5" max="5" width="24.7109375" style="69" customWidth="1"/>
    <col min="6" max="6" width="18" style="67" customWidth="1"/>
    <col min="7" max="37" width="3.42578125" style="32" customWidth="1"/>
    <col min="38" max="253" width="8.140625" style="32" customWidth="1"/>
    <col min="254" max="1021" width="8.5703125" style="5" customWidth="1"/>
    <col min="1022" max="16384" width="9.140625" style="5"/>
  </cols>
  <sheetData>
    <row r="1" spans="1:42" ht="15.75" customHeight="1" x14ac:dyDescent="0.25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</row>
    <row r="2" spans="1:42" x14ac:dyDescent="0.25">
      <c r="A2" s="100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</row>
    <row r="3" spans="1:42" x14ac:dyDescent="0.25">
      <c r="A3" s="56"/>
      <c r="B3" s="58"/>
      <c r="C3" s="59"/>
      <c r="D3" s="59"/>
      <c r="E3" s="60"/>
      <c r="F3" s="61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77"/>
    </row>
    <row r="4" spans="1:42" ht="24" customHeight="1" x14ac:dyDescent="0.25">
      <c r="A4" s="101" t="s">
        <v>17</v>
      </c>
      <c r="B4" s="101"/>
      <c r="C4" s="102" t="s">
        <v>0</v>
      </c>
      <c r="D4" s="102"/>
      <c r="E4" s="102"/>
      <c r="F4" s="62"/>
      <c r="G4" s="103" t="s">
        <v>34</v>
      </c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5"/>
      <c r="AM4" s="105"/>
      <c r="AN4" s="105"/>
    </row>
    <row r="5" spans="1:42" ht="15.75" customHeight="1" x14ac:dyDescent="0.25">
      <c r="A5" s="101"/>
      <c r="B5" s="101"/>
      <c r="C5" s="106" t="s">
        <v>38</v>
      </c>
      <c r="D5" s="106"/>
      <c r="E5" s="106"/>
      <c r="F5" s="63" t="s">
        <v>21</v>
      </c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5"/>
      <c r="AM5" s="105"/>
      <c r="AN5" s="105"/>
    </row>
    <row r="6" spans="1:42" ht="27" customHeight="1" x14ac:dyDescent="0.25">
      <c r="A6" s="107" t="s">
        <v>41</v>
      </c>
      <c r="B6" s="107"/>
      <c r="C6" s="107"/>
      <c r="D6" s="107"/>
      <c r="E6" s="64" t="s">
        <v>86</v>
      </c>
      <c r="F6" s="72">
        <v>2026</v>
      </c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65"/>
      <c r="AM6" s="65"/>
      <c r="AN6" s="65"/>
    </row>
    <row r="7" spans="1:42" ht="25.5" x14ac:dyDescent="0.25">
      <c r="A7" s="9" t="s">
        <v>1</v>
      </c>
      <c r="B7" s="23"/>
      <c r="C7" s="49" t="s">
        <v>20</v>
      </c>
      <c r="D7" s="50" t="s">
        <v>37</v>
      </c>
      <c r="E7" s="24" t="s">
        <v>18</v>
      </c>
      <c r="F7" s="22" t="s">
        <v>3</v>
      </c>
      <c r="G7" s="22">
        <v>1</v>
      </c>
      <c r="H7" s="22">
        <v>2</v>
      </c>
      <c r="I7" s="22">
        <v>3</v>
      </c>
      <c r="J7" s="22">
        <v>4</v>
      </c>
      <c r="K7" s="22">
        <v>5</v>
      </c>
      <c r="L7" s="22">
        <v>6</v>
      </c>
      <c r="M7" s="22">
        <v>7</v>
      </c>
      <c r="N7" s="22">
        <v>8</v>
      </c>
      <c r="O7" s="22">
        <v>9</v>
      </c>
      <c r="P7" s="22">
        <v>10</v>
      </c>
      <c r="Q7" s="22">
        <v>11</v>
      </c>
      <c r="R7" s="22">
        <v>12</v>
      </c>
      <c r="S7" s="22">
        <v>13</v>
      </c>
      <c r="T7" s="22">
        <v>14</v>
      </c>
      <c r="U7" s="22">
        <v>15</v>
      </c>
      <c r="V7" s="22">
        <v>16</v>
      </c>
      <c r="W7" s="22">
        <v>17</v>
      </c>
      <c r="X7" s="22">
        <v>18</v>
      </c>
      <c r="Y7" s="22">
        <v>19</v>
      </c>
      <c r="Z7" s="22">
        <v>20</v>
      </c>
      <c r="AA7" s="22">
        <v>21</v>
      </c>
      <c r="AB7" s="22">
        <v>22</v>
      </c>
      <c r="AC7" s="22">
        <v>23</v>
      </c>
      <c r="AD7" s="22">
        <v>24</v>
      </c>
      <c r="AE7" s="22">
        <v>25</v>
      </c>
      <c r="AF7" s="22">
        <v>26</v>
      </c>
      <c r="AG7" s="22">
        <v>27</v>
      </c>
      <c r="AH7" s="22">
        <v>28</v>
      </c>
      <c r="AI7" s="22">
        <v>29</v>
      </c>
      <c r="AJ7" s="22">
        <v>30</v>
      </c>
      <c r="AK7" s="22">
        <v>31</v>
      </c>
      <c r="AL7" s="17" t="s">
        <v>4</v>
      </c>
      <c r="AM7" s="17" t="s">
        <v>5</v>
      </c>
      <c r="AN7" s="17" t="s">
        <v>6</v>
      </c>
    </row>
    <row r="8" spans="1:42" x14ac:dyDescent="0.25">
      <c r="A8" s="18">
        <v>1</v>
      </c>
      <c r="B8" s="18"/>
      <c r="C8" s="51">
        <v>95738</v>
      </c>
      <c r="D8" s="52" t="s">
        <v>73</v>
      </c>
      <c r="E8" s="25" t="s">
        <v>74</v>
      </c>
      <c r="F8" s="20" t="s">
        <v>30</v>
      </c>
      <c r="G8" s="70"/>
      <c r="H8" s="12">
        <v>3</v>
      </c>
      <c r="I8" s="12">
        <v>3</v>
      </c>
      <c r="J8" s="12">
        <v>3</v>
      </c>
      <c r="K8" s="12">
        <v>3</v>
      </c>
      <c r="L8" s="12">
        <v>3</v>
      </c>
      <c r="M8" s="70"/>
      <c r="N8" s="70"/>
      <c r="O8" s="12">
        <v>3</v>
      </c>
      <c r="P8" s="12">
        <v>3</v>
      </c>
      <c r="Q8" s="12">
        <v>3</v>
      </c>
      <c r="R8" s="12">
        <v>3</v>
      </c>
      <c r="S8" s="12">
        <v>3</v>
      </c>
      <c r="T8" s="70"/>
      <c r="U8" s="70"/>
      <c r="V8" s="12" t="s">
        <v>85</v>
      </c>
      <c r="W8" s="12" t="s">
        <v>85</v>
      </c>
      <c r="X8" s="12" t="s">
        <v>85</v>
      </c>
      <c r="Y8" s="12" t="s">
        <v>85</v>
      </c>
      <c r="Z8" s="12" t="s">
        <v>85</v>
      </c>
      <c r="AA8" s="70" t="s">
        <v>85</v>
      </c>
      <c r="AB8" s="70" t="s">
        <v>85</v>
      </c>
      <c r="AC8" s="12">
        <v>3</v>
      </c>
      <c r="AD8" s="12">
        <v>3</v>
      </c>
      <c r="AE8" s="12">
        <v>3</v>
      </c>
      <c r="AF8" s="12">
        <v>3</v>
      </c>
      <c r="AG8" s="12">
        <v>3</v>
      </c>
      <c r="AH8" s="70"/>
      <c r="AI8" s="70"/>
      <c r="AJ8" s="12"/>
      <c r="AK8" s="12"/>
      <c r="AL8" s="15">
        <f>SUM(G8:AK8)</f>
        <v>45</v>
      </c>
      <c r="AM8" s="17"/>
      <c r="AN8" s="17"/>
      <c r="AO8" s="78">
        <f t="shared" ref="AO8:AO46" si="0">50-AL8</f>
        <v>5</v>
      </c>
    </row>
    <row r="9" spans="1:42" x14ac:dyDescent="0.25">
      <c r="A9" s="18">
        <v>2</v>
      </c>
      <c r="B9" s="19"/>
      <c r="C9" s="53">
        <v>292687</v>
      </c>
      <c r="D9" s="54">
        <v>17780206102</v>
      </c>
      <c r="E9" s="21" t="s">
        <v>42</v>
      </c>
      <c r="F9" s="20" t="s">
        <v>16</v>
      </c>
      <c r="G9" s="70"/>
      <c r="H9" s="12">
        <v>3</v>
      </c>
      <c r="I9" s="12">
        <v>3</v>
      </c>
      <c r="J9" s="12">
        <v>3</v>
      </c>
      <c r="K9" s="12">
        <v>3</v>
      </c>
      <c r="L9" s="12">
        <v>3</v>
      </c>
      <c r="M9" s="70"/>
      <c r="N9" s="70"/>
      <c r="O9" s="12">
        <v>3</v>
      </c>
      <c r="P9" s="12">
        <v>3</v>
      </c>
      <c r="Q9" s="12">
        <v>3</v>
      </c>
      <c r="R9" s="12">
        <v>3</v>
      </c>
      <c r="S9" s="12">
        <v>3</v>
      </c>
      <c r="T9" s="70"/>
      <c r="U9" s="70"/>
      <c r="V9" s="12"/>
      <c r="W9" s="12"/>
      <c r="X9" s="12"/>
      <c r="Y9" s="12" t="s">
        <v>85</v>
      </c>
      <c r="Z9" s="12" t="s">
        <v>85</v>
      </c>
      <c r="AA9" s="70" t="s">
        <v>85</v>
      </c>
      <c r="AB9" s="70" t="s">
        <v>85</v>
      </c>
      <c r="AC9" s="12">
        <v>3</v>
      </c>
      <c r="AD9" s="12">
        <v>3</v>
      </c>
      <c r="AE9" s="12">
        <v>3</v>
      </c>
      <c r="AF9" s="12">
        <v>3</v>
      </c>
      <c r="AG9" s="12">
        <v>3</v>
      </c>
      <c r="AH9" s="70"/>
      <c r="AI9" s="70"/>
      <c r="AJ9" s="12"/>
      <c r="AK9" s="12"/>
      <c r="AL9" s="15">
        <f t="shared" ref="AL9:AL46" si="1">SUM(G9:AK9)</f>
        <v>45</v>
      </c>
      <c r="AM9" s="16"/>
      <c r="AN9" s="16"/>
      <c r="AO9" s="78">
        <f t="shared" si="0"/>
        <v>5</v>
      </c>
      <c r="AP9" s="5"/>
    </row>
    <row r="10" spans="1:42" x14ac:dyDescent="0.25">
      <c r="A10" s="18">
        <v>3</v>
      </c>
      <c r="B10" s="19"/>
      <c r="C10" s="53">
        <v>304066</v>
      </c>
      <c r="D10" s="28">
        <v>13435205384</v>
      </c>
      <c r="E10" s="21" t="s">
        <v>43</v>
      </c>
      <c r="F10" s="20" t="s">
        <v>16</v>
      </c>
      <c r="G10" s="70"/>
      <c r="H10" s="12">
        <v>3</v>
      </c>
      <c r="I10" s="12">
        <v>3</v>
      </c>
      <c r="J10" s="12">
        <v>3</v>
      </c>
      <c r="K10" s="12" t="s">
        <v>89</v>
      </c>
      <c r="L10" s="12" t="s">
        <v>89</v>
      </c>
      <c r="M10" s="70"/>
      <c r="N10" s="70"/>
      <c r="O10" s="12">
        <v>3</v>
      </c>
      <c r="P10" s="12">
        <v>3</v>
      </c>
      <c r="Q10" s="12">
        <v>3</v>
      </c>
      <c r="R10" s="12">
        <v>3</v>
      </c>
      <c r="S10" s="12">
        <v>3</v>
      </c>
      <c r="T10" s="70"/>
      <c r="U10" s="70"/>
      <c r="V10" s="12"/>
      <c r="W10" s="12"/>
      <c r="X10" s="12"/>
      <c r="Y10" s="12" t="s">
        <v>85</v>
      </c>
      <c r="Z10" s="12" t="s">
        <v>85</v>
      </c>
      <c r="AA10" s="70" t="s">
        <v>85</v>
      </c>
      <c r="AB10" s="70" t="s">
        <v>85</v>
      </c>
      <c r="AC10" s="12">
        <v>3</v>
      </c>
      <c r="AD10" s="12">
        <v>3</v>
      </c>
      <c r="AE10" s="12">
        <v>3</v>
      </c>
      <c r="AF10" s="12">
        <v>3</v>
      </c>
      <c r="AG10" s="12">
        <v>3</v>
      </c>
      <c r="AH10" s="70"/>
      <c r="AI10" s="70"/>
      <c r="AJ10" s="12">
        <v>3</v>
      </c>
      <c r="AK10" s="12">
        <v>3</v>
      </c>
      <c r="AL10" s="15">
        <f t="shared" si="1"/>
        <v>45</v>
      </c>
      <c r="AM10" s="16"/>
      <c r="AN10" s="16"/>
      <c r="AO10" s="78">
        <f t="shared" si="0"/>
        <v>5</v>
      </c>
      <c r="AP10" s="5"/>
    </row>
    <row r="11" spans="1:42" x14ac:dyDescent="0.25">
      <c r="A11" s="18">
        <v>4</v>
      </c>
      <c r="B11" s="19"/>
      <c r="C11" s="53">
        <v>287485</v>
      </c>
      <c r="D11" s="54">
        <v>36779025470</v>
      </c>
      <c r="E11" s="21" t="s">
        <v>44</v>
      </c>
      <c r="F11" s="20" t="s">
        <v>16</v>
      </c>
      <c r="G11" s="70"/>
      <c r="H11" s="12">
        <v>3</v>
      </c>
      <c r="I11" s="12">
        <v>3</v>
      </c>
      <c r="J11" s="12">
        <v>3</v>
      </c>
      <c r="K11" s="12">
        <v>3</v>
      </c>
      <c r="L11" s="12">
        <v>3</v>
      </c>
      <c r="M11" s="70"/>
      <c r="N11" s="70"/>
      <c r="O11" s="12">
        <v>3</v>
      </c>
      <c r="P11" s="12">
        <v>3</v>
      </c>
      <c r="Q11" s="12">
        <v>3</v>
      </c>
      <c r="R11" s="12">
        <v>3</v>
      </c>
      <c r="S11" s="12">
        <v>3</v>
      </c>
      <c r="T11" s="70"/>
      <c r="U11" s="70"/>
      <c r="V11" s="12"/>
      <c r="W11" s="12"/>
      <c r="X11" s="12"/>
      <c r="Y11" s="12" t="s">
        <v>85</v>
      </c>
      <c r="Z11" s="12" t="s">
        <v>85</v>
      </c>
      <c r="AA11" s="70" t="s">
        <v>85</v>
      </c>
      <c r="AB11" s="70" t="s">
        <v>85</v>
      </c>
      <c r="AC11" s="12">
        <v>3</v>
      </c>
      <c r="AD11" s="12">
        <v>3</v>
      </c>
      <c r="AE11" s="12">
        <v>3</v>
      </c>
      <c r="AF11" s="12">
        <v>3</v>
      </c>
      <c r="AG11" s="12" t="s">
        <v>89</v>
      </c>
      <c r="AH11" s="70"/>
      <c r="AI11" s="70"/>
      <c r="AJ11" s="12"/>
      <c r="AK11" s="12"/>
      <c r="AL11" s="15">
        <f t="shared" si="1"/>
        <v>42</v>
      </c>
      <c r="AM11" s="16"/>
      <c r="AN11" s="16"/>
      <c r="AO11" s="78">
        <f t="shared" si="0"/>
        <v>8</v>
      </c>
      <c r="AP11" s="5"/>
    </row>
    <row r="12" spans="1:42" x14ac:dyDescent="0.25">
      <c r="A12" s="18">
        <v>5</v>
      </c>
      <c r="B12" s="19"/>
      <c r="C12" s="53">
        <v>287520</v>
      </c>
      <c r="D12" s="54">
        <v>47089654014</v>
      </c>
      <c r="E12" s="21" t="s">
        <v>45</v>
      </c>
      <c r="F12" s="20" t="s">
        <v>16</v>
      </c>
      <c r="G12" s="70"/>
      <c r="H12" s="12">
        <v>3</v>
      </c>
      <c r="I12" s="12">
        <v>3</v>
      </c>
      <c r="J12" s="12">
        <v>3</v>
      </c>
      <c r="K12" s="12">
        <v>3</v>
      </c>
      <c r="L12" s="12">
        <v>3</v>
      </c>
      <c r="M12" s="70"/>
      <c r="N12" s="70"/>
      <c r="O12" s="12">
        <v>3</v>
      </c>
      <c r="P12" s="12">
        <v>3</v>
      </c>
      <c r="Q12" s="12">
        <v>3</v>
      </c>
      <c r="R12" s="12">
        <v>3</v>
      </c>
      <c r="S12" s="12">
        <v>3</v>
      </c>
      <c r="T12" s="70"/>
      <c r="U12" s="70"/>
      <c r="V12" s="12"/>
      <c r="W12" s="12"/>
      <c r="X12" s="12"/>
      <c r="Y12" s="12" t="s">
        <v>85</v>
      </c>
      <c r="Z12" s="12" t="s">
        <v>85</v>
      </c>
      <c r="AA12" s="70" t="s">
        <v>85</v>
      </c>
      <c r="AB12" s="70" t="s">
        <v>85</v>
      </c>
      <c r="AC12" s="12">
        <v>3</v>
      </c>
      <c r="AD12" s="12">
        <v>3</v>
      </c>
      <c r="AE12" s="12">
        <v>3</v>
      </c>
      <c r="AF12" s="12">
        <v>3</v>
      </c>
      <c r="AG12" s="12">
        <v>3</v>
      </c>
      <c r="AH12" s="70"/>
      <c r="AI12" s="70"/>
      <c r="AJ12" s="12"/>
      <c r="AK12" s="12"/>
      <c r="AL12" s="15">
        <f t="shared" si="1"/>
        <v>45</v>
      </c>
      <c r="AM12" s="16"/>
      <c r="AN12" s="16"/>
      <c r="AO12" s="78">
        <f t="shared" si="0"/>
        <v>5</v>
      </c>
      <c r="AP12" s="5"/>
    </row>
    <row r="13" spans="1:42" x14ac:dyDescent="0.25">
      <c r="A13" s="18">
        <v>6</v>
      </c>
      <c r="B13" s="19"/>
      <c r="C13" s="53">
        <v>287385</v>
      </c>
      <c r="D13" s="54">
        <v>16145792892</v>
      </c>
      <c r="E13" s="21" t="s">
        <v>46</v>
      </c>
      <c r="F13" s="20" t="s">
        <v>16</v>
      </c>
      <c r="G13" s="70"/>
      <c r="H13" s="12">
        <v>3</v>
      </c>
      <c r="I13" s="12">
        <v>3</v>
      </c>
      <c r="J13" s="12">
        <v>3</v>
      </c>
      <c r="K13" s="12">
        <v>3</v>
      </c>
      <c r="L13" s="12">
        <v>3</v>
      </c>
      <c r="M13" s="70"/>
      <c r="N13" s="70"/>
      <c r="O13" s="12">
        <v>3</v>
      </c>
      <c r="P13" s="12">
        <v>3</v>
      </c>
      <c r="Q13" s="12">
        <v>3</v>
      </c>
      <c r="R13" s="12">
        <v>3</v>
      </c>
      <c r="S13" s="12">
        <v>3</v>
      </c>
      <c r="T13" s="70"/>
      <c r="U13" s="70"/>
      <c r="V13" s="12"/>
      <c r="W13" s="12"/>
      <c r="X13" s="12"/>
      <c r="Y13" s="12" t="s">
        <v>85</v>
      </c>
      <c r="Z13" s="12" t="s">
        <v>85</v>
      </c>
      <c r="AA13" s="70" t="s">
        <v>85</v>
      </c>
      <c r="AB13" s="70" t="s">
        <v>85</v>
      </c>
      <c r="AC13" s="12">
        <v>3</v>
      </c>
      <c r="AD13" s="12">
        <v>3</v>
      </c>
      <c r="AE13" s="12">
        <v>3</v>
      </c>
      <c r="AF13" s="12">
        <v>3</v>
      </c>
      <c r="AG13" s="12">
        <v>3</v>
      </c>
      <c r="AH13" s="70"/>
      <c r="AI13" s="70"/>
      <c r="AJ13" s="12"/>
      <c r="AK13" s="12"/>
      <c r="AL13" s="15">
        <f t="shared" si="1"/>
        <v>45</v>
      </c>
      <c r="AM13" s="16"/>
      <c r="AN13" s="16"/>
      <c r="AO13" s="78">
        <f t="shared" si="0"/>
        <v>5</v>
      </c>
      <c r="AP13" s="5"/>
    </row>
    <row r="14" spans="1:42" x14ac:dyDescent="0.25">
      <c r="A14" s="18">
        <v>7</v>
      </c>
      <c r="B14" s="19"/>
      <c r="C14" s="81">
        <v>147687</v>
      </c>
      <c r="D14" s="81">
        <v>20654513534</v>
      </c>
      <c r="E14" s="21" t="s">
        <v>87</v>
      </c>
      <c r="F14" s="20" t="s">
        <v>16</v>
      </c>
      <c r="G14" s="70"/>
      <c r="H14" s="12"/>
      <c r="I14" s="12"/>
      <c r="J14" s="12"/>
      <c r="K14" s="12"/>
      <c r="L14" s="12"/>
      <c r="M14" s="70"/>
      <c r="N14" s="70"/>
      <c r="O14" s="12"/>
      <c r="P14" s="12"/>
      <c r="Q14" s="12">
        <v>2</v>
      </c>
      <c r="R14" s="12">
        <v>3</v>
      </c>
      <c r="S14" s="12">
        <v>3</v>
      </c>
      <c r="T14" s="70">
        <v>5</v>
      </c>
      <c r="U14" s="70">
        <v>5</v>
      </c>
      <c r="V14" s="12">
        <v>3</v>
      </c>
      <c r="W14" s="12">
        <v>3</v>
      </c>
      <c r="X14" s="12">
        <v>3</v>
      </c>
      <c r="Y14" s="12" t="s">
        <v>85</v>
      </c>
      <c r="Z14" s="12" t="s">
        <v>85</v>
      </c>
      <c r="AA14" s="70" t="s">
        <v>85</v>
      </c>
      <c r="AB14" s="70" t="s">
        <v>85</v>
      </c>
      <c r="AC14" s="12">
        <v>3</v>
      </c>
      <c r="AD14" s="12">
        <v>3</v>
      </c>
      <c r="AE14" s="12">
        <v>3</v>
      </c>
      <c r="AF14" s="12">
        <v>3</v>
      </c>
      <c r="AG14" s="12" t="s">
        <v>89</v>
      </c>
      <c r="AH14" s="70"/>
      <c r="AI14" s="70"/>
      <c r="AJ14" s="12">
        <v>3</v>
      </c>
      <c r="AK14" s="12">
        <v>3</v>
      </c>
      <c r="AL14" s="15">
        <f t="shared" si="1"/>
        <v>45</v>
      </c>
      <c r="AM14" s="16"/>
      <c r="AN14" s="16"/>
      <c r="AO14" s="78">
        <f t="shared" si="0"/>
        <v>5</v>
      </c>
      <c r="AP14" s="5"/>
    </row>
    <row r="15" spans="1:42" x14ac:dyDescent="0.25">
      <c r="A15" s="18">
        <v>8</v>
      </c>
      <c r="B15" s="19"/>
      <c r="C15" s="53">
        <v>304615</v>
      </c>
      <c r="D15" s="54">
        <v>17788074710</v>
      </c>
      <c r="E15" s="21" t="s">
        <v>48</v>
      </c>
      <c r="F15" s="20" t="s">
        <v>16</v>
      </c>
      <c r="G15" s="70"/>
      <c r="H15" s="12">
        <v>3</v>
      </c>
      <c r="I15" s="12">
        <v>3</v>
      </c>
      <c r="J15" s="12">
        <v>3</v>
      </c>
      <c r="K15" s="12">
        <v>3</v>
      </c>
      <c r="L15" s="12">
        <v>3</v>
      </c>
      <c r="M15" s="70"/>
      <c r="N15" s="70"/>
      <c r="O15" s="12">
        <v>3</v>
      </c>
      <c r="P15" s="12">
        <v>3</v>
      </c>
      <c r="Q15" s="12">
        <v>3</v>
      </c>
      <c r="R15" s="12">
        <v>3</v>
      </c>
      <c r="S15" s="12">
        <v>3</v>
      </c>
      <c r="T15" s="70"/>
      <c r="U15" s="70"/>
      <c r="V15" s="12" t="s">
        <v>85</v>
      </c>
      <c r="W15" s="12" t="s">
        <v>85</v>
      </c>
      <c r="X15" s="12" t="s">
        <v>85</v>
      </c>
      <c r="Y15" s="12" t="s">
        <v>85</v>
      </c>
      <c r="Z15" s="12" t="s">
        <v>85</v>
      </c>
      <c r="AA15" s="70" t="s">
        <v>85</v>
      </c>
      <c r="AB15" s="70" t="s">
        <v>85</v>
      </c>
      <c r="AC15" s="12">
        <v>3</v>
      </c>
      <c r="AD15" s="12">
        <v>3</v>
      </c>
      <c r="AE15" s="12">
        <v>3</v>
      </c>
      <c r="AF15" s="12">
        <v>3</v>
      </c>
      <c r="AG15" s="12">
        <v>3</v>
      </c>
      <c r="AH15" s="70"/>
      <c r="AI15" s="70"/>
      <c r="AJ15" s="12"/>
      <c r="AK15" s="12"/>
      <c r="AL15" s="15">
        <f t="shared" si="1"/>
        <v>45</v>
      </c>
      <c r="AM15" s="16"/>
      <c r="AN15" s="16"/>
      <c r="AO15" s="78">
        <f t="shared" si="0"/>
        <v>5</v>
      </c>
      <c r="AP15" s="5"/>
    </row>
    <row r="16" spans="1:42" x14ac:dyDescent="0.25">
      <c r="A16" s="18">
        <v>9</v>
      </c>
      <c r="B16" s="19"/>
      <c r="C16" s="53">
        <v>287441</v>
      </c>
      <c r="D16" s="54">
        <v>26831423368</v>
      </c>
      <c r="E16" s="21" t="s">
        <v>49</v>
      </c>
      <c r="F16" s="20" t="s">
        <v>16</v>
      </c>
      <c r="G16" s="70"/>
      <c r="H16" s="12">
        <v>3</v>
      </c>
      <c r="I16" s="12">
        <v>3</v>
      </c>
      <c r="J16" s="12">
        <v>3</v>
      </c>
      <c r="K16" s="12">
        <v>3</v>
      </c>
      <c r="L16" s="12">
        <v>3</v>
      </c>
      <c r="M16" s="70"/>
      <c r="N16" s="70"/>
      <c r="O16" s="12">
        <v>3</v>
      </c>
      <c r="P16" s="12">
        <v>3</v>
      </c>
      <c r="Q16" s="12">
        <v>3</v>
      </c>
      <c r="R16" s="12">
        <v>3</v>
      </c>
      <c r="S16" s="12">
        <v>3</v>
      </c>
      <c r="T16" s="70"/>
      <c r="U16" s="70"/>
      <c r="V16" s="12"/>
      <c r="W16" s="12"/>
      <c r="X16" s="12"/>
      <c r="Y16" s="12" t="s">
        <v>85</v>
      </c>
      <c r="Z16" s="12" t="s">
        <v>85</v>
      </c>
      <c r="AA16" s="70" t="s">
        <v>85</v>
      </c>
      <c r="AB16" s="70" t="s">
        <v>85</v>
      </c>
      <c r="AC16" s="12">
        <v>3</v>
      </c>
      <c r="AD16" s="12">
        <v>3</v>
      </c>
      <c r="AE16" s="12">
        <v>3</v>
      </c>
      <c r="AF16" s="12">
        <v>3</v>
      </c>
      <c r="AG16" s="12">
        <v>3</v>
      </c>
      <c r="AH16" s="70"/>
      <c r="AI16" s="70"/>
      <c r="AJ16" s="12"/>
      <c r="AK16" s="12"/>
      <c r="AL16" s="15">
        <f t="shared" si="1"/>
        <v>45</v>
      </c>
      <c r="AM16" s="16"/>
      <c r="AN16" s="16"/>
      <c r="AO16" s="78">
        <f t="shared" si="0"/>
        <v>5</v>
      </c>
      <c r="AP16" s="5"/>
    </row>
    <row r="17" spans="1:42" x14ac:dyDescent="0.25">
      <c r="A17" s="18">
        <v>10</v>
      </c>
      <c r="B17" s="19"/>
      <c r="C17" s="53">
        <v>304647</v>
      </c>
      <c r="D17" s="54">
        <v>46657910828</v>
      </c>
      <c r="E17" s="21" t="s">
        <v>50</v>
      </c>
      <c r="F17" s="20" t="s">
        <v>16</v>
      </c>
      <c r="G17" s="70"/>
      <c r="H17" s="12">
        <v>3</v>
      </c>
      <c r="I17" s="12">
        <v>3</v>
      </c>
      <c r="J17" s="12">
        <v>3</v>
      </c>
      <c r="K17" s="12">
        <v>3</v>
      </c>
      <c r="L17" s="12">
        <v>3</v>
      </c>
      <c r="M17" s="70"/>
      <c r="N17" s="70"/>
      <c r="O17" s="12">
        <v>3</v>
      </c>
      <c r="P17" s="12" t="s">
        <v>89</v>
      </c>
      <c r="Q17" s="12" t="s">
        <v>89</v>
      </c>
      <c r="R17" s="12">
        <v>3</v>
      </c>
      <c r="S17" s="12">
        <v>3</v>
      </c>
      <c r="T17" s="70"/>
      <c r="U17" s="70"/>
      <c r="V17" s="12"/>
      <c r="W17" s="12"/>
      <c r="X17" s="12"/>
      <c r="Y17" s="12" t="s">
        <v>85</v>
      </c>
      <c r="Z17" s="12" t="s">
        <v>85</v>
      </c>
      <c r="AA17" s="70" t="s">
        <v>85</v>
      </c>
      <c r="AB17" s="70" t="s">
        <v>85</v>
      </c>
      <c r="AC17" s="12">
        <v>3</v>
      </c>
      <c r="AD17" s="12">
        <v>3</v>
      </c>
      <c r="AE17" s="12">
        <v>3</v>
      </c>
      <c r="AF17" s="12">
        <v>3</v>
      </c>
      <c r="AG17" s="12">
        <v>3</v>
      </c>
      <c r="AH17" s="70"/>
      <c r="AI17" s="70"/>
      <c r="AJ17" s="12">
        <v>3</v>
      </c>
      <c r="AK17" s="12">
        <v>3</v>
      </c>
      <c r="AL17" s="15">
        <f t="shared" si="1"/>
        <v>45</v>
      </c>
      <c r="AM17" s="16"/>
      <c r="AN17" s="16"/>
      <c r="AO17" s="78">
        <f t="shared" si="0"/>
        <v>5</v>
      </c>
      <c r="AP17" s="5"/>
    </row>
    <row r="18" spans="1:42" x14ac:dyDescent="0.25">
      <c r="A18" s="18">
        <v>11</v>
      </c>
      <c r="B18" s="19"/>
      <c r="C18" s="53">
        <v>304777</v>
      </c>
      <c r="D18" s="54">
        <v>55948486874</v>
      </c>
      <c r="E18" s="21" t="s">
        <v>51</v>
      </c>
      <c r="F18" s="20" t="s">
        <v>16</v>
      </c>
      <c r="G18" s="70"/>
      <c r="H18" s="12">
        <v>3</v>
      </c>
      <c r="I18" s="12">
        <v>3</v>
      </c>
      <c r="J18" s="12">
        <v>3</v>
      </c>
      <c r="K18" s="12">
        <v>3</v>
      </c>
      <c r="L18" s="12">
        <v>3</v>
      </c>
      <c r="M18" s="70"/>
      <c r="N18" s="70"/>
      <c r="O18" s="12">
        <v>3</v>
      </c>
      <c r="P18" s="12">
        <v>3</v>
      </c>
      <c r="Q18" s="12">
        <v>3</v>
      </c>
      <c r="R18" s="12">
        <v>3</v>
      </c>
      <c r="S18" s="12">
        <v>3</v>
      </c>
      <c r="T18" s="70"/>
      <c r="U18" s="70"/>
      <c r="V18" s="12"/>
      <c r="W18" s="12"/>
      <c r="X18" s="12"/>
      <c r="Y18" s="12" t="s">
        <v>85</v>
      </c>
      <c r="Z18" s="12" t="s">
        <v>85</v>
      </c>
      <c r="AA18" s="70" t="s">
        <v>85</v>
      </c>
      <c r="AB18" s="70" t="s">
        <v>85</v>
      </c>
      <c r="AC18" s="12">
        <v>3</v>
      </c>
      <c r="AD18" s="12">
        <v>3</v>
      </c>
      <c r="AE18" s="12">
        <v>3</v>
      </c>
      <c r="AF18" s="12">
        <v>3</v>
      </c>
      <c r="AG18" s="12">
        <v>3</v>
      </c>
      <c r="AH18" s="70"/>
      <c r="AI18" s="70"/>
      <c r="AJ18" s="12"/>
      <c r="AK18" s="12"/>
      <c r="AL18" s="15">
        <f t="shared" si="1"/>
        <v>45</v>
      </c>
      <c r="AM18" s="16"/>
      <c r="AN18" s="16"/>
      <c r="AO18" s="78">
        <f t="shared" si="0"/>
        <v>5</v>
      </c>
      <c r="AP18" s="5"/>
    </row>
    <row r="19" spans="1:42" x14ac:dyDescent="0.25">
      <c r="A19" s="18">
        <v>12</v>
      </c>
      <c r="B19" s="19"/>
      <c r="C19" s="53">
        <v>304760</v>
      </c>
      <c r="D19" s="54">
        <v>41857369766</v>
      </c>
      <c r="E19" s="21" t="s">
        <v>52</v>
      </c>
      <c r="F19" s="20" t="s">
        <v>16</v>
      </c>
      <c r="G19" s="70"/>
      <c r="H19" s="12">
        <v>3</v>
      </c>
      <c r="I19" s="12">
        <v>3</v>
      </c>
      <c r="J19" s="12">
        <v>3</v>
      </c>
      <c r="K19" s="12">
        <v>3</v>
      </c>
      <c r="L19" s="12">
        <v>3</v>
      </c>
      <c r="M19" s="70"/>
      <c r="N19" s="70"/>
      <c r="O19" s="12">
        <v>3</v>
      </c>
      <c r="P19" s="12">
        <v>3</v>
      </c>
      <c r="Q19" s="12">
        <v>3</v>
      </c>
      <c r="R19" s="12">
        <v>3</v>
      </c>
      <c r="S19" s="12">
        <v>3</v>
      </c>
      <c r="T19" s="70"/>
      <c r="U19" s="70"/>
      <c r="V19" s="12"/>
      <c r="W19" s="12"/>
      <c r="X19" s="12"/>
      <c r="Y19" s="12" t="s">
        <v>85</v>
      </c>
      <c r="Z19" s="12" t="s">
        <v>85</v>
      </c>
      <c r="AA19" s="70" t="s">
        <v>85</v>
      </c>
      <c r="AB19" s="70" t="s">
        <v>85</v>
      </c>
      <c r="AC19" s="12">
        <v>3</v>
      </c>
      <c r="AD19" s="12">
        <v>3</v>
      </c>
      <c r="AE19" s="12">
        <v>3</v>
      </c>
      <c r="AF19" s="12">
        <v>3</v>
      </c>
      <c r="AG19" s="12">
        <v>3</v>
      </c>
      <c r="AH19" s="70"/>
      <c r="AI19" s="70"/>
      <c r="AJ19" s="12"/>
      <c r="AK19" s="12"/>
      <c r="AL19" s="15">
        <f t="shared" si="1"/>
        <v>45</v>
      </c>
      <c r="AM19" s="16"/>
      <c r="AN19" s="16"/>
      <c r="AO19" s="78">
        <f t="shared" si="0"/>
        <v>5</v>
      </c>
      <c r="AP19" s="5"/>
    </row>
    <row r="20" spans="1:42" x14ac:dyDescent="0.25">
      <c r="A20" s="18">
        <v>13</v>
      </c>
      <c r="B20" s="19"/>
      <c r="C20" s="53">
        <v>110942</v>
      </c>
      <c r="D20" s="54">
        <v>12065762830</v>
      </c>
      <c r="E20" s="21" t="s">
        <v>53</v>
      </c>
      <c r="F20" s="20" t="s">
        <v>16</v>
      </c>
      <c r="G20" s="70"/>
      <c r="H20" s="12">
        <v>3</v>
      </c>
      <c r="I20" s="12">
        <v>3</v>
      </c>
      <c r="J20" s="12">
        <v>3</v>
      </c>
      <c r="K20" s="12">
        <v>3</v>
      </c>
      <c r="L20" s="12">
        <v>3</v>
      </c>
      <c r="M20" s="70"/>
      <c r="N20" s="70"/>
      <c r="O20" s="12">
        <v>3</v>
      </c>
      <c r="P20" s="12">
        <v>3</v>
      </c>
      <c r="Q20" s="12">
        <v>3</v>
      </c>
      <c r="R20" s="12">
        <v>3</v>
      </c>
      <c r="S20" s="12">
        <v>3</v>
      </c>
      <c r="T20" s="70"/>
      <c r="U20" s="70"/>
      <c r="V20" s="12"/>
      <c r="W20" s="12"/>
      <c r="X20" s="12"/>
      <c r="Y20" s="12" t="s">
        <v>85</v>
      </c>
      <c r="Z20" s="12" t="s">
        <v>85</v>
      </c>
      <c r="AA20" s="70" t="s">
        <v>85</v>
      </c>
      <c r="AB20" s="70" t="s">
        <v>85</v>
      </c>
      <c r="AC20" s="12">
        <v>3</v>
      </c>
      <c r="AD20" s="12">
        <v>3</v>
      </c>
      <c r="AE20" s="12">
        <v>3</v>
      </c>
      <c r="AF20" s="12">
        <v>3</v>
      </c>
      <c r="AG20" s="12">
        <v>3</v>
      </c>
      <c r="AH20" s="70"/>
      <c r="AI20" s="70"/>
      <c r="AJ20" s="12"/>
      <c r="AK20" s="12"/>
      <c r="AL20" s="15">
        <f t="shared" si="1"/>
        <v>45</v>
      </c>
      <c r="AM20" s="16"/>
      <c r="AN20" s="16"/>
      <c r="AO20" s="78">
        <f t="shared" si="0"/>
        <v>5</v>
      </c>
      <c r="AP20" s="5"/>
    </row>
    <row r="21" spans="1:42" x14ac:dyDescent="0.25">
      <c r="A21" s="18">
        <v>14</v>
      </c>
      <c r="B21" s="19"/>
      <c r="C21" s="53">
        <v>229779</v>
      </c>
      <c r="D21" s="54">
        <v>21281416588</v>
      </c>
      <c r="E21" s="21" t="s">
        <v>54</v>
      </c>
      <c r="F21" s="20" t="s">
        <v>16</v>
      </c>
      <c r="G21" s="70"/>
      <c r="H21" s="12">
        <v>3</v>
      </c>
      <c r="I21" s="12">
        <v>3</v>
      </c>
      <c r="J21" s="12">
        <v>3</v>
      </c>
      <c r="K21" s="12">
        <v>3</v>
      </c>
      <c r="L21" s="12">
        <v>3</v>
      </c>
      <c r="M21" s="70"/>
      <c r="N21" s="70"/>
      <c r="O21" s="12">
        <v>3</v>
      </c>
      <c r="P21" s="12">
        <v>3</v>
      </c>
      <c r="Q21" s="12">
        <v>3</v>
      </c>
      <c r="R21" s="12">
        <v>3</v>
      </c>
      <c r="S21" s="12">
        <v>3</v>
      </c>
      <c r="T21" s="70"/>
      <c r="U21" s="70"/>
      <c r="V21" s="12"/>
      <c r="W21" s="12"/>
      <c r="X21" s="12"/>
      <c r="Y21" s="12" t="s">
        <v>85</v>
      </c>
      <c r="Z21" s="12" t="s">
        <v>85</v>
      </c>
      <c r="AA21" s="70" t="s">
        <v>85</v>
      </c>
      <c r="AB21" s="70" t="s">
        <v>85</v>
      </c>
      <c r="AC21" s="12">
        <v>3</v>
      </c>
      <c r="AD21" s="12">
        <v>3</v>
      </c>
      <c r="AE21" s="12">
        <v>3</v>
      </c>
      <c r="AF21" s="12">
        <v>3</v>
      </c>
      <c r="AG21" s="12">
        <v>3</v>
      </c>
      <c r="AH21" s="70"/>
      <c r="AI21" s="70"/>
      <c r="AJ21" s="12"/>
      <c r="AK21" s="12"/>
      <c r="AL21" s="15">
        <f t="shared" si="1"/>
        <v>45</v>
      </c>
      <c r="AM21" s="16"/>
      <c r="AN21" s="16"/>
      <c r="AO21" s="78">
        <f t="shared" si="0"/>
        <v>5</v>
      </c>
      <c r="AP21" s="5"/>
    </row>
    <row r="22" spans="1:42" x14ac:dyDescent="0.25">
      <c r="A22" s="18">
        <v>15</v>
      </c>
      <c r="B22" s="19"/>
      <c r="C22" s="53">
        <v>253212</v>
      </c>
      <c r="D22" s="54">
        <v>15344845576</v>
      </c>
      <c r="E22" s="21" t="s">
        <v>55</v>
      </c>
      <c r="F22" s="20" t="s">
        <v>16</v>
      </c>
      <c r="G22" s="70"/>
      <c r="H22" s="12">
        <v>3</v>
      </c>
      <c r="I22" s="12">
        <v>3</v>
      </c>
      <c r="J22" s="12">
        <v>3</v>
      </c>
      <c r="K22" s="12">
        <v>3</v>
      </c>
      <c r="L22" s="12">
        <v>3</v>
      </c>
      <c r="M22" s="70"/>
      <c r="N22" s="70"/>
      <c r="O22" s="12">
        <v>3</v>
      </c>
      <c r="P22" s="12">
        <v>3</v>
      </c>
      <c r="Q22" s="12">
        <v>3</v>
      </c>
      <c r="R22" s="12">
        <v>3</v>
      </c>
      <c r="S22" s="12">
        <v>3</v>
      </c>
      <c r="T22" s="70"/>
      <c r="U22" s="70"/>
      <c r="V22" s="12"/>
      <c r="W22" s="12"/>
      <c r="X22" s="12"/>
      <c r="Y22" s="12" t="s">
        <v>85</v>
      </c>
      <c r="Z22" s="12" t="s">
        <v>85</v>
      </c>
      <c r="AA22" s="70" t="s">
        <v>85</v>
      </c>
      <c r="AB22" s="70" t="s">
        <v>85</v>
      </c>
      <c r="AC22" s="12">
        <v>3</v>
      </c>
      <c r="AD22" s="12">
        <v>3</v>
      </c>
      <c r="AE22" s="12">
        <v>3</v>
      </c>
      <c r="AF22" s="12">
        <v>3</v>
      </c>
      <c r="AG22" s="12">
        <v>3</v>
      </c>
      <c r="AH22" s="70"/>
      <c r="AI22" s="70"/>
      <c r="AJ22" s="12"/>
      <c r="AK22" s="12"/>
      <c r="AL22" s="15">
        <f t="shared" si="1"/>
        <v>45</v>
      </c>
      <c r="AM22" s="16"/>
      <c r="AN22" s="16"/>
      <c r="AO22" s="78">
        <f t="shared" si="0"/>
        <v>5</v>
      </c>
      <c r="AP22" s="5"/>
    </row>
    <row r="23" spans="1:42" x14ac:dyDescent="0.25">
      <c r="A23" s="18">
        <v>16</v>
      </c>
      <c r="B23" s="19"/>
      <c r="C23" s="53">
        <v>222207</v>
      </c>
      <c r="D23" s="54">
        <v>13879006622</v>
      </c>
      <c r="E23" s="21" t="s">
        <v>56</v>
      </c>
      <c r="F23" s="20" t="s">
        <v>16</v>
      </c>
      <c r="G23" s="70"/>
      <c r="H23" s="12">
        <v>3</v>
      </c>
      <c r="I23" s="12">
        <v>3</v>
      </c>
      <c r="J23" s="12">
        <v>3</v>
      </c>
      <c r="K23" s="12">
        <v>3</v>
      </c>
      <c r="L23" s="12">
        <v>3</v>
      </c>
      <c r="M23" s="70"/>
      <c r="N23" s="70"/>
      <c r="O23" s="12">
        <v>3</v>
      </c>
      <c r="P23" s="12">
        <v>3</v>
      </c>
      <c r="Q23" s="12">
        <v>3</v>
      </c>
      <c r="R23" s="12">
        <v>3</v>
      </c>
      <c r="S23" s="12">
        <v>3</v>
      </c>
      <c r="T23" s="70"/>
      <c r="U23" s="70"/>
      <c r="V23" s="12"/>
      <c r="W23" s="12"/>
      <c r="X23" s="12"/>
      <c r="Y23" s="12" t="s">
        <v>85</v>
      </c>
      <c r="Z23" s="12" t="s">
        <v>85</v>
      </c>
      <c r="AA23" s="70" t="s">
        <v>85</v>
      </c>
      <c r="AB23" s="70" t="s">
        <v>85</v>
      </c>
      <c r="AC23" s="12">
        <v>3</v>
      </c>
      <c r="AD23" s="12">
        <v>3</v>
      </c>
      <c r="AE23" s="12">
        <v>3</v>
      </c>
      <c r="AF23" s="12">
        <v>3</v>
      </c>
      <c r="AG23" s="12">
        <v>3</v>
      </c>
      <c r="AH23" s="70"/>
      <c r="AI23" s="70"/>
      <c r="AJ23" s="12"/>
      <c r="AK23" s="12"/>
      <c r="AL23" s="15">
        <f t="shared" si="1"/>
        <v>45</v>
      </c>
      <c r="AM23" s="16"/>
      <c r="AN23" s="16"/>
      <c r="AO23" s="78">
        <f t="shared" si="0"/>
        <v>5</v>
      </c>
      <c r="AP23" s="5"/>
    </row>
    <row r="24" spans="1:42" ht="15" customHeight="1" x14ac:dyDescent="0.25">
      <c r="A24" s="18">
        <v>17</v>
      </c>
      <c r="B24" s="19"/>
      <c r="C24" s="53">
        <v>304006</v>
      </c>
      <c r="D24" s="54">
        <v>11026134198</v>
      </c>
      <c r="E24" s="71" t="s">
        <v>57</v>
      </c>
      <c r="F24" s="20" t="s">
        <v>16</v>
      </c>
      <c r="G24" s="70"/>
      <c r="H24" s="12">
        <v>3</v>
      </c>
      <c r="I24" s="12">
        <v>3</v>
      </c>
      <c r="J24" s="12">
        <v>3</v>
      </c>
      <c r="K24" s="12" t="s">
        <v>89</v>
      </c>
      <c r="L24" s="12" t="s">
        <v>89</v>
      </c>
      <c r="M24" s="70"/>
      <c r="N24" s="70"/>
      <c r="O24" s="12">
        <v>3</v>
      </c>
      <c r="P24" s="12">
        <v>3</v>
      </c>
      <c r="Q24" s="12">
        <v>3</v>
      </c>
      <c r="R24" s="12">
        <v>3</v>
      </c>
      <c r="S24" s="12">
        <v>3</v>
      </c>
      <c r="T24" s="70"/>
      <c r="U24" s="70"/>
      <c r="V24" s="12"/>
      <c r="W24" s="12"/>
      <c r="X24" s="12"/>
      <c r="Y24" s="12" t="s">
        <v>85</v>
      </c>
      <c r="Z24" s="12" t="s">
        <v>85</v>
      </c>
      <c r="AA24" s="70" t="s">
        <v>85</v>
      </c>
      <c r="AB24" s="70" t="s">
        <v>85</v>
      </c>
      <c r="AC24" s="12">
        <v>3</v>
      </c>
      <c r="AD24" s="12">
        <v>3</v>
      </c>
      <c r="AE24" s="12">
        <v>3</v>
      </c>
      <c r="AF24" s="12">
        <v>3</v>
      </c>
      <c r="AG24" s="12">
        <v>3</v>
      </c>
      <c r="AH24" s="70"/>
      <c r="AI24" s="70"/>
      <c r="AJ24" s="12">
        <v>3</v>
      </c>
      <c r="AK24" s="12">
        <v>3</v>
      </c>
      <c r="AL24" s="15">
        <f t="shared" si="1"/>
        <v>45</v>
      </c>
      <c r="AM24" s="16"/>
      <c r="AN24" s="16"/>
      <c r="AO24" s="78">
        <f t="shared" si="0"/>
        <v>5</v>
      </c>
      <c r="AP24" s="5"/>
    </row>
    <row r="25" spans="1:42" x14ac:dyDescent="0.25">
      <c r="A25" s="18">
        <v>18</v>
      </c>
      <c r="B25" s="19"/>
      <c r="C25" s="53">
        <v>303988</v>
      </c>
      <c r="D25" s="54">
        <v>11224059576</v>
      </c>
      <c r="E25" s="21" t="s">
        <v>60</v>
      </c>
      <c r="F25" s="20" t="s">
        <v>16</v>
      </c>
      <c r="G25" s="70"/>
      <c r="H25" s="12">
        <v>3</v>
      </c>
      <c r="I25" s="12">
        <v>3</v>
      </c>
      <c r="J25" s="12">
        <v>3</v>
      </c>
      <c r="K25" s="12">
        <v>3</v>
      </c>
      <c r="L25" s="12">
        <v>3</v>
      </c>
      <c r="M25" s="70"/>
      <c r="N25" s="70"/>
      <c r="O25" s="12">
        <v>3</v>
      </c>
      <c r="P25" s="12">
        <v>3</v>
      </c>
      <c r="Q25" s="12">
        <v>3</v>
      </c>
      <c r="R25" s="12">
        <v>3</v>
      </c>
      <c r="S25" s="12">
        <v>3</v>
      </c>
      <c r="T25" s="70"/>
      <c r="U25" s="70"/>
      <c r="V25" s="12"/>
      <c r="W25" s="12"/>
      <c r="X25" s="12"/>
      <c r="Y25" s="12" t="s">
        <v>85</v>
      </c>
      <c r="Z25" s="12" t="s">
        <v>85</v>
      </c>
      <c r="AA25" s="70" t="s">
        <v>85</v>
      </c>
      <c r="AB25" s="70" t="s">
        <v>85</v>
      </c>
      <c r="AC25" s="12">
        <v>3</v>
      </c>
      <c r="AD25" s="12">
        <v>3</v>
      </c>
      <c r="AE25" s="12">
        <v>3</v>
      </c>
      <c r="AF25" s="12">
        <v>3</v>
      </c>
      <c r="AG25" s="12">
        <v>3</v>
      </c>
      <c r="AH25" s="70"/>
      <c r="AI25" s="70"/>
      <c r="AJ25" s="12"/>
      <c r="AK25" s="12"/>
      <c r="AL25" s="15">
        <f t="shared" si="1"/>
        <v>45</v>
      </c>
      <c r="AM25" s="16"/>
      <c r="AN25" s="16"/>
      <c r="AO25" s="78">
        <f t="shared" si="0"/>
        <v>5</v>
      </c>
      <c r="AP25" s="5"/>
    </row>
    <row r="26" spans="1:42" x14ac:dyDescent="0.25">
      <c r="A26" s="18">
        <v>19</v>
      </c>
      <c r="B26" s="19"/>
      <c r="C26" s="53">
        <v>221713</v>
      </c>
      <c r="D26" s="54">
        <v>20510328180</v>
      </c>
      <c r="E26" s="21" t="s">
        <v>61</v>
      </c>
      <c r="F26" s="20" t="s">
        <v>16</v>
      </c>
      <c r="G26" s="70"/>
      <c r="H26" s="12">
        <v>3</v>
      </c>
      <c r="I26" s="12">
        <v>3</v>
      </c>
      <c r="J26" s="12">
        <v>3</v>
      </c>
      <c r="K26" s="12">
        <v>3</v>
      </c>
      <c r="L26" s="12">
        <v>3</v>
      </c>
      <c r="M26" s="70"/>
      <c r="N26" s="70"/>
      <c r="O26" s="12">
        <v>3</v>
      </c>
      <c r="P26" s="12">
        <v>3</v>
      </c>
      <c r="Q26" s="12">
        <v>3</v>
      </c>
      <c r="R26" s="12">
        <v>3</v>
      </c>
      <c r="S26" s="12">
        <v>3</v>
      </c>
      <c r="T26" s="70"/>
      <c r="U26" s="70"/>
      <c r="V26" s="12">
        <v>3</v>
      </c>
      <c r="W26" s="12">
        <v>3</v>
      </c>
      <c r="X26" s="12">
        <v>3</v>
      </c>
      <c r="Y26" s="12" t="s">
        <v>85</v>
      </c>
      <c r="Z26" s="12" t="s">
        <v>85</v>
      </c>
      <c r="AA26" s="70" t="s">
        <v>85</v>
      </c>
      <c r="AB26" s="70" t="s">
        <v>85</v>
      </c>
      <c r="AC26" s="12" t="s">
        <v>89</v>
      </c>
      <c r="AD26" s="12" t="s">
        <v>89</v>
      </c>
      <c r="AE26" s="12" t="s">
        <v>89</v>
      </c>
      <c r="AF26" s="12" t="s">
        <v>89</v>
      </c>
      <c r="AG26" s="12" t="s">
        <v>89</v>
      </c>
      <c r="AH26" s="70"/>
      <c r="AI26" s="70"/>
      <c r="AJ26" s="12">
        <v>3</v>
      </c>
      <c r="AK26" s="12">
        <v>3</v>
      </c>
      <c r="AL26" s="15">
        <f t="shared" si="1"/>
        <v>45</v>
      </c>
      <c r="AM26" s="16"/>
      <c r="AN26" s="16"/>
      <c r="AO26" s="78">
        <f t="shared" si="0"/>
        <v>5</v>
      </c>
      <c r="AP26" s="5"/>
    </row>
    <row r="27" spans="1:42" x14ac:dyDescent="0.25">
      <c r="A27" s="18">
        <v>20</v>
      </c>
      <c r="B27" s="19"/>
      <c r="C27" s="53">
        <v>304692</v>
      </c>
      <c r="D27" s="54">
        <v>40012025004</v>
      </c>
      <c r="E27" s="21" t="s">
        <v>62</v>
      </c>
      <c r="F27" s="20" t="s">
        <v>16</v>
      </c>
      <c r="G27" s="70"/>
      <c r="H27" s="12">
        <v>3</v>
      </c>
      <c r="I27" s="12">
        <v>3</v>
      </c>
      <c r="J27" s="12">
        <v>3</v>
      </c>
      <c r="K27" s="12">
        <v>3</v>
      </c>
      <c r="L27" s="12">
        <v>3</v>
      </c>
      <c r="M27" s="70"/>
      <c r="N27" s="70"/>
      <c r="O27" s="12">
        <v>3</v>
      </c>
      <c r="P27" s="12">
        <v>3</v>
      </c>
      <c r="Q27" s="12">
        <v>3</v>
      </c>
      <c r="R27" s="12">
        <v>3</v>
      </c>
      <c r="S27" s="12">
        <v>3</v>
      </c>
      <c r="T27" s="70"/>
      <c r="U27" s="70"/>
      <c r="V27" s="12"/>
      <c r="W27" s="12"/>
      <c r="X27" s="12"/>
      <c r="Y27" s="12" t="s">
        <v>85</v>
      </c>
      <c r="Z27" s="12" t="s">
        <v>85</v>
      </c>
      <c r="AA27" s="70" t="s">
        <v>85</v>
      </c>
      <c r="AB27" s="70" t="s">
        <v>85</v>
      </c>
      <c r="AC27" s="12">
        <v>3</v>
      </c>
      <c r="AD27" s="12">
        <v>3</v>
      </c>
      <c r="AE27" s="12">
        <v>3</v>
      </c>
      <c r="AF27" s="12">
        <v>3</v>
      </c>
      <c r="AG27" s="12">
        <v>3</v>
      </c>
      <c r="AH27" s="70"/>
      <c r="AI27" s="70"/>
      <c r="AJ27" s="12"/>
      <c r="AK27" s="12"/>
      <c r="AL27" s="15">
        <f t="shared" si="1"/>
        <v>45</v>
      </c>
      <c r="AM27" s="16"/>
      <c r="AN27" s="16"/>
      <c r="AO27" s="78">
        <f t="shared" si="0"/>
        <v>5</v>
      </c>
      <c r="AP27" s="5"/>
    </row>
    <row r="28" spans="1:42" x14ac:dyDescent="0.25">
      <c r="A28" s="18">
        <v>21</v>
      </c>
      <c r="B28" s="19"/>
      <c r="C28" s="74">
        <v>188116</v>
      </c>
      <c r="D28" s="75">
        <v>15823126110</v>
      </c>
      <c r="E28" s="21" t="s">
        <v>63</v>
      </c>
      <c r="F28" s="20" t="s">
        <v>16</v>
      </c>
      <c r="G28" s="70"/>
      <c r="H28" s="12">
        <v>3</v>
      </c>
      <c r="I28" s="12">
        <v>3</v>
      </c>
      <c r="J28" s="12">
        <v>3</v>
      </c>
      <c r="K28" s="12">
        <v>3</v>
      </c>
      <c r="L28" s="12">
        <v>3</v>
      </c>
      <c r="M28" s="70"/>
      <c r="N28" s="70"/>
      <c r="O28" s="12">
        <v>3</v>
      </c>
      <c r="P28" s="12">
        <v>3</v>
      </c>
      <c r="Q28" s="12">
        <v>3</v>
      </c>
      <c r="R28" s="12">
        <v>3</v>
      </c>
      <c r="S28" s="12">
        <v>3</v>
      </c>
      <c r="T28" s="70"/>
      <c r="U28" s="70"/>
      <c r="V28" s="12"/>
      <c r="W28" s="12"/>
      <c r="X28" s="12"/>
      <c r="Y28" s="12" t="s">
        <v>85</v>
      </c>
      <c r="Z28" s="12" t="s">
        <v>85</v>
      </c>
      <c r="AA28" s="70" t="s">
        <v>85</v>
      </c>
      <c r="AB28" s="70" t="s">
        <v>85</v>
      </c>
      <c r="AC28" s="12">
        <v>3</v>
      </c>
      <c r="AD28" s="12">
        <v>3</v>
      </c>
      <c r="AE28" s="12">
        <v>3</v>
      </c>
      <c r="AF28" s="12">
        <v>3</v>
      </c>
      <c r="AG28" s="12">
        <v>3</v>
      </c>
      <c r="AH28" s="70"/>
      <c r="AI28" s="70"/>
      <c r="AJ28" s="12"/>
      <c r="AK28" s="12"/>
      <c r="AL28" s="15">
        <f t="shared" si="1"/>
        <v>45</v>
      </c>
      <c r="AM28" s="16"/>
      <c r="AN28" s="16"/>
      <c r="AO28" s="78">
        <f t="shared" si="0"/>
        <v>5</v>
      </c>
      <c r="AP28" s="5"/>
    </row>
    <row r="29" spans="1:42" x14ac:dyDescent="0.25">
      <c r="A29" s="18">
        <v>22</v>
      </c>
      <c r="B29" s="19"/>
      <c r="C29" s="74">
        <v>304709</v>
      </c>
      <c r="D29" s="75">
        <v>28136517698</v>
      </c>
      <c r="E29" s="21" t="s">
        <v>64</v>
      </c>
      <c r="F29" s="20" t="s">
        <v>16</v>
      </c>
      <c r="G29" s="70"/>
      <c r="H29" s="12" t="s">
        <v>89</v>
      </c>
      <c r="I29" s="12" t="s">
        <v>89</v>
      </c>
      <c r="J29" s="12" t="s">
        <v>89</v>
      </c>
      <c r="K29" s="12" t="s">
        <v>89</v>
      </c>
      <c r="L29" s="12" t="s">
        <v>89</v>
      </c>
      <c r="M29" s="70" t="s">
        <v>89</v>
      </c>
      <c r="N29" s="70" t="s">
        <v>89</v>
      </c>
      <c r="O29" s="12">
        <v>3</v>
      </c>
      <c r="P29" s="12">
        <v>3</v>
      </c>
      <c r="Q29" s="12">
        <v>3</v>
      </c>
      <c r="R29" s="12">
        <v>3</v>
      </c>
      <c r="S29" s="12">
        <v>3</v>
      </c>
      <c r="T29" s="70">
        <v>5</v>
      </c>
      <c r="U29" s="70">
        <v>5</v>
      </c>
      <c r="V29" s="12"/>
      <c r="W29" s="12"/>
      <c r="X29" s="12"/>
      <c r="Y29" s="12" t="s">
        <v>85</v>
      </c>
      <c r="Z29" s="12" t="s">
        <v>85</v>
      </c>
      <c r="AA29" s="70" t="s">
        <v>85</v>
      </c>
      <c r="AB29" s="70" t="s">
        <v>85</v>
      </c>
      <c r="AC29" s="12">
        <v>3</v>
      </c>
      <c r="AD29" s="12">
        <v>3</v>
      </c>
      <c r="AE29" s="12">
        <v>3</v>
      </c>
      <c r="AF29" s="12">
        <v>3</v>
      </c>
      <c r="AG29" s="12">
        <v>3</v>
      </c>
      <c r="AH29" s="70"/>
      <c r="AI29" s="70"/>
      <c r="AJ29" s="12">
        <v>3</v>
      </c>
      <c r="AK29" s="12">
        <v>2</v>
      </c>
      <c r="AL29" s="15">
        <f t="shared" si="1"/>
        <v>45</v>
      </c>
      <c r="AM29" s="16"/>
      <c r="AN29" s="16"/>
      <c r="AO29" s="78">
        <f t="shared" si="0"/>
        <v>5</v>
      </c>
      <c r="AP29" s="5"/>
    </row>
    <row r="30" spans="1:42" x14ac:dyDescent="0.25">
      <c r="A30" s="18">
        <v>23</v>
      </c>
      <c r="B30" s="19"/>
      <c r="C30" s="75">
        <v>48039</v>
      </c>
      <c r="D30" s="75">
        <v>22214302220</v>
      </c>
      <c r="E30" s="21" t="s">
        <v>66</v>
      </c>
      <c r="F30" s="20" t="s">
        <v>16</v>
      </c>
      <c r="G30" s="70"/>
      <c r="H30" s="12" t="s">
        <v>89</v>
      </c>
      <c r="I30" s="12" t="s">
        <v>89</v>
      </c>
      <c r="J30" s="12" t="s">
        <v>89</v>
      </c>
      <c r="K30" s="12">
        <v>3</v>
      </c>
      <c r="L30" s="12">
        <v>3</v>
      </c>
      <c r="M30" s="70">
        <v>4</v>
      </c>
      <c r="N30" s="70">
        <v>5</v>
      </c>
      <c r="O30" s="12">
        <v>3</v>
      </c>
      <c r="P30" s="12">
        <v>3</v>
      </c>
      <c r="Q30" s="12">
        <v>3</v>
      </c>
      <c r="R30" s="12">
        <v>3</v>
      </c>
      <c r="S30" s="12">
        <v>3</v>
      </c>
      <c r="T30" s="70"/>
      <c r="U30" s="70"/>
      <c r="V30" s="12">
        <v>3</v>
      </c>
      <c r="W30" s="12">
        <v>3</v>
      </c>
      <c r="X30" s="12">
        <v>3</v>
      </c>
      <c r="Y30" s="12" t="s">
        <v>85</v>
      </c>
      <c r="Z30" s="12" t="s">
        <v>85</v>
      </c>
      <c r="AA30" s="70" t="s">
        <v>85</v>
      </c>
      <c r="AB30" s="70" t="s">
        <v>85</v>
      </c>
      <c r="AC30" s="12" t="s">
        <v>89</v>
      </c>
      <c r="AD30" s="12" t="s">
        <v>89</v>
      </c>
      <c r="AE30" s="12" t="s">
        <v>89</v>
      </c>
      <c r="AF30" s="12" t="s">
        <v>89</v>
      </c>
      <c r="AG30" s="12" t="s">
        <v>89</v>
      </c>
      <c r="AH30" s="70" t="s">
        <v>89</v>
      </c>
      <c r="AI30" s="70" t="s">
        <v>89</v>
      </c>
      <c r="AJ30" s="12">
        <v>3</v>
      </c>
      <c r="AK30" s="12">
        <v>3</v>
      </c>
      <c r="AL30" s="15">
        <f t="shared" si="1"/>
        <v>45</v>
      </c>
      <c r="AM30" s="16"/>
      <c r="AN30" s="16"/>
      <c r="AO30" s="78">
        <f t="shared" si="0"/>
        <v>5</v>
      </c>
      <c r="AP30" s="5"/>
    </row>
    <row r="31" spans="1:42" x14ac:dyDescent="0.25">
      <c r="A31" s="18">
        <v>24</v>
      </c>
      <c r="B31" s="19"/>
      <c r="C31" s="74">
        <v>181079</v>
      </c>
      <c r="D31" s="75">
        <v>17890869334</v>
      </c>
      <c r="E31" s="21" t="s">
        <v>67</v>
      </c>
      <c r="F31" s="20" t="s">
        <v>16</v>
      </c>
      <c r="G31" s="70"/>
      <c r="H31" s="12">
        <v>3</v>
      </c>
      <c r="I31" s="12">
        <v>3</v>
      </c>
      <c r="J31" s="12">
        <v>3</v>
      </c>
      <c r="K31" s="12">
        <v>3</v>
      </c>
      <c r="L31" s="12">
        <v>3</v>
      </c>
      <c r="M31" s="70"/>
      <c r="N31" s="70"/>
      <c r="O31" s="12">
        <v>3</v>
      </c>
      <c r="P31" s="12">
        <v>3</v>
      </c>
      <c r="Q31" s="12">
        <v>3</v>
      </c>
      <c r="R31" s="12">
        <v>3</v>
      </c>
      <c r="S31" s="12">
        <v>3</v>
      </c>
      <c r="T31" s="70"/>
      <c r="U31" s="70"/>
      <c r="V31" s="12"/>
      <c r="W31" s="12"/>
      <c r="X31" s="12"/>
      <c r="Y31" s="12" t="s">
        <v>85</v>
      </c>
      <c r="Z31" s="12" t="s">
        <v>85</v>
      </c>
      <c r="AA31" s="70" t="s">
        <v>85</v>
      </c>
      <c r="AB31" s="70" t="s">
        <v>85</v>
      </c>
      <c r="AC31" s="12">
        <v>3</v>
      </c>
      <c r="AD31" s="12">
        <v>3</v>
      </c>
      <c r="AE31" s="12">
        <v>3</v>
      </c>
      <c r="AF31" s="12">
        <v>3</v>
      </c>
      <c r="AG31" s="12">
        <v>3</v>
      </c>
      <c r="AH31" s="70"/>
      <c r="AI31" s="70"/>
      <c r="AJ31" s="12"/>
      <c r="AK31" s="12"/>
      <c r="AL31" s="15">
        <f t="shared" si="1"/>
        <v>45</v>
      </c>
      <c r="AM31" s="16"/>
      <c r="AN31" s="16"/>
      <c r="AO31" s="78">
        <f t="shared" si="0"/>
        <v>5</v>
      </c>
      <c r="AP31" s="5"/>
    </row>
    <row r="32" spans="1:42" x14ac:dyDescent="0.25">
      <c r="A32" s="18">
        <v>25</v>
      </c>
      <c r="B32" s="19"/>
      <c r="C32" s="75">
        <v>287462</v>
      </c>
      <c r="D32" s="75">
        <v>32113696764</v>
      </c>
      <c r="E32" s="21" t="s">
        <v>68</v>
      </c>
      <c r="F32" s="20" t="s">
        <v>16</v>
      </c>
      <c r="G32" s="70"/>
      <c r="H32" s="12">
        <v>3</v>
      </c>
      <c r="I32" s="12">
        <v>3</v>
      </c>
      <c r="J32" s="12">
        <v>3</v>
      </c>
      <c r="K32" s="12">
        <v>3</v>
      </c>
      <c r="L32" s="12">
        <v>3</v>
      </c>
      <c r="M32" s="70"/>
      <c r="N32" s="70"/>
      <c r="O32" s="12">
        <v>3</v>
      </c>
      <c r="P32" s="12">
        <v>3</v>
      </c>
      <c r="Q32" s="12">
        <v>3</v>
      </c>
      <c r="R32" s="12">
        <v>3</v>
      </c>
      <c r="S32" s="12">
        <v>3</v>
      </c>
      <c r="T32" s="70"/>
      <c r="U32" s="70"/>
      <c r="V32" s="12"/>
      <c r="W32" s="12"/>
      <c r="X32" s="12"/>
      <c r="Y32" s="12" t="s">
        <v>85</v>
      </c>
      <c r="Z32" s="12" t="s">
        <v>85</v>
      </c>
      <c r="AA32" s="70" t="s">
        <v>85</v>
      </c>
      <c r="AB32" s="70" t="s">
        <v>85</v>
      </c>
      <c r="AC32" s="12">
        <v>3</v>
      </c>
      <c r="AD32" s="12">
        <v>3</v>
      </c>
      <c r="AE32" s="12">
        <v>3</v>
      </c>
      <c r="AF32" s="12">
        <v>3</v>
      </c>
      <c r="AG32" s="12">
        <v>3</v>
      </c>
      <c r="AH32" s="70"/>
      <c r="AI32" s="70"/>
      <c r="AJ32" s="12"/>
      <c r="AK32" s="12"/>
      <c r="AL32" s="15">
        <f t="shared" si="1"/>
        <v>45</v>
      </c>
      <c r="AM32" s="16"/>
      <c r="AN32" s="16"/>
      <c r="AO32" s="78">
        <f t="shared" si="0"/>
        <v>5</v>
      </c>
      <c r="AP32" s="5"/>
    </row>
    <row r="33" spans="1:42" x14ac:dyDescent="0.25">
      <c r="A33" s="18">
        <v>26</v>
      </c>
      <c r="B33" s="19"/>
      <c r="C33" s="75">
        <v>47447</v>
      </c>
      <c r="D33" s="81">
        <v>30073198922</v>
      </c>
      <c r="E33" s="21" t="s">
        <v>69</v>
      </c>
      <c r="F33" s="20" t="s">
        <v>16</v>
      </c>
      <c r="G33" s="70"/>
      <c r="H33" s="12">
        <v>3</v>
      </c>
      <c r="I33" s="12">
        <v>3</v>
      </c>
      <c r="J33" s="12">
        <v>3</v>
      </c>
      <c r="K33" s="12">
        <v>3</v>
      </c>
      <c r="L33" s="12">
        <v>3</v>
      </c>
      <c r="M33" s="70"/>
      <c r="N33" s="70"/>
      <c r="O33" s="12">
        <v>3</v>
      </c>
      <c r="P33" s="12">
        <v>3</v>
      </c>
      <c r="Q33" s="12">
        <v>3</v>
      </c>
      <c r="R33" s="12">
        <v>3</v>
      </c>
      <c r="S33" s="12">
        <v>3</v>
      </c>
      <c r="T33" s="70"/>
      <c r="U33" s="70"/>
      <c r="V33" s="12"/>
      <c r="W33" s="12"/>
      <c r="X33" s="12"/>
      <c r="Y33" s="12" t="s">
        <v>85</v>
      </c>
      <c r="Z33" s="12" t="s">
        <v>85</v>
      </c>
      <c r="AA33" s="70" t="s">
        <v>85</v>
      </c>
      <c r="AB33" s="70" t="s">
        <v>85</v>
      </c>
      <c r="AC33" s="12">
        <v>3</v>
      </c>
      <c r="AD33" s="12">
        <v>3</v>
      </c>
      <c r="AE33" s="12">
        <v>3</v>
      </c>
      <c r="AF33" s="12">
        <v>3</v>
      </c>
      <c r="AG33" s="12">
        <v>3</v>
      </c>
      <c r="AH33" s="70"/>
      <c r="AI33" s="70"/>
      <c r="AJ33" s="12"/>
      <c r="AK33" s="12"/>
      <c r="AL33" s="15">
        <f t="shared" si="1"/>
        <v>45</v>
      </c>
      <c r="AM33" s="16"/>
      <c r="AN33" s="16"/>
      <c r="AO33" s="78">
        <f t="shared" si="0"/>
        <v>5</v>
      </c>
      <c r="AP33" s="5"/>
    </row>
    <row r="34" spans="1:42" x14ac:dyDescent="0.25">
      <c r="A34" s="18">
        <v>27</v>
      </c>
      <c r="B34" s="19"/>
      <c r="C34" s="74">
        <v>47414</v>
      </c>
      <c r="D34" s="76">
        <v>29131003278</v>
      </c>
      <c r="E34" s="21" t="s">
        <v>70</v>
      </c>
      <c r="F34" s="20" t="s">
        <v>16</v>
      </c>
      <c r="G34" s="70"/>
      <c r="H34" s="12">
        <v>3</v>
      </c>
      <c r="I34" s="12">
        <v>3</v>
      </c>
      <c r="J34" s="12">
        <v>3</v>
      </c>
      <c r="K34" s="12">
        <v>3</v>
      </c>
      <c r="L34" s="12">
        <v>3</v>
      </c>
      <c r="M34" s="70">
        <v>5</v>
      </c>
      <c r="N34" s="70">
        <v>4</v>
      </c>
      <c r="O34" s="12" t="s">
        <v>89</v>
      </c>
      <c r="P34" s="12" t="s">
        <v>89</v>
      </c>
      <c r="Q34" s="12" t="s">
        <v>89</v>
      </c>
      <c r="R34" s="12" t="s">
        <v>89</v>
      </c>
      <c r="S34" s="12" t="s">
        <v>89</v>
      </c>
      <c r="T34" s="70" t="s">
        <v>89</v>
      </c>
      <c r="U34" s="70" t="s">
        <v>89</v>
      </c>
      <c r="V34" s="12" t="s">
        <v>89</v>
      </c>
      <c r="W34" s="12" t="s">
        <v>89</v>
      </c>
      <c r="X34" s="12" t="s">
        <v>89</v>
      </c>
      <c r="Y34" s="12" t="s">
        <v>85</v>
      </c>
      <c r="Z34" s="12" t="s">
        <v>85</v>
      </c>
      <c r="AA34" s="70" t="s">
        <v>85</v>
      </c>
      <c r="AB34" s="70" t="s">
        <v>85</v>
      </c>
      <c r="AC34" s="12">
        <v>3</v>
      </c>
      <c r="AD34" s="12">
        <v>3</v>
      </c>
      <c r="AE34" s="12">
        <v>3</v>
      </c>
      <c r="AF34" s="12">
        <v>3</v>
      </c>
      <c r="AG34" s="12">
        <v>3</v>
      </c>
      <c r="AH34" s="70"/>
      <c r="AI34" s="70"/>
      <c r="AJ34" s="12">
        <v>3</v>
      </c>
      <c r="AK34" s="12">
        <v>3</v>
      </c>
      <c r="AL34" s="15">
        <f t="shared" si="1"/>
        <v>45</v>
      </c>
      <c r="AM34" s="16"/>
      <c r="AN34" s="16"/>
      <c r="AO34" s="78">
        <f t="shared" si="0"/>
        <v>5</v>
      </c>
      <c r="AP34" s="5"/>
    </row>
    <row r="35" spans="1:42" x14ac:dyDescent="0.25">
      <c r="A35" s="18">
        <v>28</v>
      </c>
      <c r="B35" s="19"/>
      <c r="C35" s="54">
        <v>287487</v>
      </c>
      <c r="D35" s="54">
        <v>38095704534</v>
      </c>
      <c r="E35" s="21" t="s">
        <v>72</v>
      </c>
      <c r="F35" s="20" t="s">
        <v>16</v>
      </c>
      <c r="G35" s="70"/>
      <c r="H35" s="12">
        <v>3</v>
      </c>
      <c r="I35" s="12">
        <v>3</v>
      </c>
      <c r="J35" s="12">
        <v>3</v>
      </c>
      <c r="K35" s="12">
        <v>3</v>
      </c>
      <c r="L35" s="12">
        <v>3</v>
      </c>
      <c r="M35" s="70"/>
      <c r="N35" s="70"/>
      <c r="O35" s="12">
        <v>3</v>
      </c>
      <c r="P35" s="12">
        <v>3</v>
      </c>
      <c r="Q35" s="12">
        <v>3</v>
      </c>
      <c r="R35" s="12">
        <v>3</v>
      </c>
      <c r="S35" s="12">
        <v>3</v>
      </c>
      <c r="T35" s="70"/>
      <c r="U35" s="70"/>
      <c r="V35" s="12"/>
      <c r="W35" s="12"/>
      <c r="X35" s="12"/>
      <c r="Y35" s="12" t="s">
        <v>85</v>
      </c>
      <c r="Z35" s="12" t="s">
        <v>85</v>
      </c>
      <c r="AA35" s="70" t="s">
        <v>85</v>
      </c>
      <c r="AB35" s="70" t="s">
        <v>85</v>
      </c>
      <c r="AC35" s="12">
        <v>3</v>
      </c>
      <c r="AD35" s="12">
        <v>3</v>
      </c>
      <c r="AE35" s="12">
        <v>3</v>
      </c>
      <c r="AF35" s="12">
        <v>3</v>
      </c>
      <c r="AG35" s="12">
        <v>3</v>
      </c>
      <c r="AH35" s="70"/>
      <c r="AI35" s="70"/>
      <c r="AJ35" s="12"/>
      <c r="AK35" s="12"/>
      <c r="AL35" s="15">
        <f t="shared" si="1"/>
        <v>45</v>
      </c>
      <c r="AM35" s="16"/>
      <c r="AN35" s="16"/>
      <c r="AO35" s="78">
        <f t="shared" si="0"/>
        <v>5</v>
      </c>
      <c r="AP35" s="5"/>
    </row>
    <row r="36" spans="1:42" x14ac:dyDescent="0.25">
      <c r="A36" s="18">
        <v>29</v>
      </c>
      <c r="B36" s="19"/>
      <c r="C36" s="54">
        <v>168950</v>
      </c>
      <c r="D36" s="54">
        <v>10672102032</v>
      </c>
      <c r="E36" s="21" t="s">
        <v>71</v>
      </c>
      <c r="F36" s="20" t="s">
        <v>16</v>
      </c>
      <c r="G36" s="70"/>
      <c r="H36" s="12">
        <v>3</v>
      </c>
      <c r="I36" s="12">
        <v>3</v>
      </c>
      <c r="J36" s="12">
        <v>3</v>
      </c>
      <c r="K36" s="12">
        <v>3</v>
      </c>
      <c r="L36" s="12">
        <v>3</v>
      </c>
      <c r="M36" s="70"/>
      <c r="N36" s="70"/>
      <c r="O36" s="12">
        <v>3</v>
      </c>
      <c r="P36" s="12">
        <v>3</v>
      </c>
      <c r="Q36" s="12">
        <v>3</v>
      </c>
      <c r="R36" s="12">
        <v>3</v>
      </c>
      <c r="S36" s="12">
        <v>3</v>
      </c>
      <c r="T36" s="70"/>
      <c r="U36" s="70"/>
      <c r="V36" s="12"/>
      <c r="W36" s="12"/>
      <c r="X36" s="12"/>
      <c r="Y36" s="12" t="s">
        <v>85</v>
      </c>
      <c r="Z36" s="12" t="s">
        <v>85</v>
      </c>
      <c r="AA36" s="70" t="s">
        <v>85</v>
      </c>
      <c r="AB36" s="70" t="s">
        <v>85</v>
      </c>
      <c r="AC36" s="12">
        <v>3</v>
      </c>
      <c r="AD36" s="12">
        <v>3</v>
      </c>
      <c r="AE36" s="12">
        <v>3</v>
      </c>
      <c r="AF36" s="12">
        <v>3</v>
      </c>
      <c r="AG36" s="12">
        <v>3</v>
      </c>
      <c r="AH36" s="70"/>
      <c r="AI36" s="70"/>
      <c r="AJ36" s="12"/>
      <c r="AK36" s="12"/>
      <c r="AL36" s="15">
        <f t="shared" si="1"/>
        <v>45</v>
      </c>
      <c r="AM36" s="16"/>
      <c r="AN36" s="16"/>
      <c r="AO36" s="78"/>
      <c r="AP36" s="5"/>
    </row>
    <row r="37" spans="1:42" x14ac:dyDescent="0.25">
      <c r="A37" s="18">
        <v>30</v>
      </c>
      <c r="B37" s="19"/>
      <c r="C37" s="54">
        <v>48249</v>
      </c>
      <c r="D37" s="54">
        <v>27752424946</v>
      </c>
      <c r="E37" s="21" t="s">
        <v>58</v>
      </c>
      <c r="F37" s="20" t="s">
        <v>31</v>
      </c>
      <c r="G37" s="70"/>
      <c r="H37" s="12">
        <v>3</v>
      </c>
      <c r="I37" s="12">
        <v>3</v>
      </c>
      <c r="J37" s="12">
        <v>3</v>
      </c>
      <c r="K37" s="12">
        <v>3</v>
      </c>
      <c r="L37" s="12">
        <v>3</v>
      </c>
      <c r="M37" s="70">
        <v>2</v>
      </c>
      <c r="N37" s="70">
        <v>2</v>
      </c>
      <c r="O37" s="12">
        <v>3</v>
      </c>
      <c r="P37" s="12">
        <v>3</v>
      </c>
      <c r="Q37" s="12">
        <v>3</v>
      </c>
      <c r="R37" s="12">
        <v>3</v>
      </c>
      <c r="S37" s="12">
        <v>3</v>
      </c>
      <c r="T37" s="70">
        <v>2</v>
      </c>
      <c r="U37" s="70"/>
      <c r="V37" s="12">
        <v>3</v>
      </c>
      <c r="W37" s="12">
        <v>3</v>
      </c>
      <c r="X37" s="12">
        <v>3</v>
      </c>
      <c r="Y37" s="12" t="s">
        <v>85</v>
      </c>
      <c r="Z37" s="12" t="s">
        <v>85</v>
      </c>
      <c r="AA37" s="70" t="s">
        <v>85</v>
      </c>
      <c r="AB37" s="70" t="s">
        <v>85</v>
      </c>
      <c r="AC37" s="12" t="s">
        <v>89</v>
      </c>
      <c r="AD37" s="12" t="s">
        <v>89</v>
      </c>
      <c r="AE37" s="12" t="s">
        <v>89</v>
      </c>
      <c r="AF37" s="12" t="s">
        <v>89</v>
      </c>
      <c r="AG37" s="12" t="s">
        <v>89</v>
      </c>
      <c r="AH37" s="70"/>
      <c r="AI37" s="70"/>
      <c r="AJ37" s="12"/>
      <c r="AK37" s="12"/>
      <c r="AL37" s="15">
        <f t="shared" si="1"/>
        <v>45</v>
      </c>
      <c r="AM37" s="16"/>
      <c r="AN37" s="16"/>
      <c r="AO37" s="78">
        <f t="shared" si="0"/>
        <v>5</v>
      </c>
      <c r="AP37" s="5"/>
    </row>
    <row r="38" spans="1:42" x14ac:dyDescent="0.25">
      <c r="A38" s="18">
        <v>31</v>
      </c>
      <c r="B38" s="19"/>
      <c r="C38" s="54">
        <v>208272</v>
      </c>
      <c r="D38" s="54">
        <v>59095481034</v>
      </c>
      <c r="E38" s="21" t="s">
        <v>59</v>
      </c>
      <c r="F38" s="20" t="s">
        <v>31</v>
      </c>
      <c r="G38" s="70" t="s">
        <v>89</v>
      </c>
      <c r="H38" s="12" t="s">
        <v>89</v>
      </c>
      <c r="I38" s="12" t="s">
        <v>89</v>
      </c>
      <c r="J38" s="12" t="s">
        <v>89</v>
      </c>
      <c r="K38" s="12" t="s">
        <v>89</v>
      </c>
      <c r="L38" s="12" t="s">
        <v>89</v>
      </c>
      <c r="M38" s="70" t="s">
        <v>89</v>
      </c>
      <c r="N38" s="70" t="s">
        <v>89</v>
      </c>
      <c r="O38" s="12">
        <v>3</v>
      </c>
      <c r="P38" s="12">
        <v>3</v>
      </c>
      <c r="Q38" s="12">
        <v>3</v>
      </c>
      <c r="R38" s="12">
        <v>3</v>
      </c>
      <c r="S38" s="12">
        <v>3</v>
      </c>
      <c r="T38" s="70">
        <v>5</v>
      </c>
      <c r="U38" s="70">
        <v>5</v>
      </c>
      <c r="V38" s="12">
        <v>3</v>
      </c>
      <c r="W38" s="12">
        <v>3</v>
      </c>
      <c r="X38" s="12">
        <v>3</v>
      </c>
      <c r="Y38" s="12" t="s">
        <v>85</v>
      </c>
      <c r="Z38" s="12" t="s">
        <v>85</v>
      </c>
      <c r="AA38" s="70" t="s">
        <v>85</v>
      </c>
      <c r="AB38" s="70" t="s">
        <v>85</v>
      </c>
      <c r="AC38" s="12" t="s">
        <v>89</v>
      </c>
      <c r="AD38" s="12" t="s">
        <v>89</v>
      </c>
      <c r="AE38" s="12" t="s">
        <v>89</v>
      </c>
      <c r="AF38" s="12" t="s">
        <v>89</v>
      </c>
      <c r="AG38" s="12" t="s">
        <v>89</v>
      </c>
      <c r="AH38" s="70" t="s">
        <v>89</v>
      </c>
      <c r="AI38" s="70" t="s">
        <v>89</v>
      </c>
      <c r="AJ38" s="12">
        <v>3</v>
      </c>
      <c r="AK38" s="12">
        <v>3</v>
      </c>
      <c r="AL38" s="15">
        <f t="shared" si="1"/>
        <v>40</v>
      </c>
      <c r="AM38" s="16"/>
      <c r="AN38" s="16"/>
      <c r="AO38" s="78">
        <f t="shared" si="0"/>
        <v>10</v>
      </c>
      <c r="AP38" s="5"/>
    </row>
    <row r="39" spans="1:42" x14ac:dyDescent="0.25">
      <c r="A39" s="18">
        <v>32</v>
      </c>
      <c r="B39" s="19"/>
      <c r="C39" s="54">
        <v>271395</v>
      </c>
      <c r="D39" s="54">
        <v>31919154508</v>
      </c>
      <c r="E39" s="21" t="s">
        <v>65</v>
      </c>
      <c r="F39" s="20" t="s">
        <v>31</v>
      </c>
      <c r="G39" s="70"/>
      <c r="H39" s="12">
        <v>3</v>
      </c>
      <c r="I39" s="12">
        <v>3</v>
      </c>
      <c r="J39" s="12">
        <v>3</v>
      </c>
      <c r="K39" s="12">
        <v>3</v>
      </c>
      <c r="L39" s="12">
        <v>3</v>
      </c>
      <c r="M39" s="70"/>
      <c r="N39" s="70"/>
      <c r="O39" s="12">
        <v>3</v>
      </c>
      <c r="P39" s="12">
        <v>3</v>
      </c>
      <c r="Q39" s="12">
        <v>3</v>
      </c>
      <c r="R39" s="12">
        <v>3</v>
      </c>
      <c r="S39" s="12">
        <v>3</v>
      </c>
      <c r="T39" s="70"/>
      <c r="U39" s="70"/>
      <c r="V39" s="12"/>
      <c r="W39" s="12"/>
      <c r="X39" s="12"/>
      <c r="Y39" s="12" t="s">
        <v>85</v>
      </c>
      <c r="Z39" s="12" t="s">
        <v>85</v>
      </c>
      <c r="AA39" s="70" t="s">
        <v>85</v>
      </c>
      <c r="AB39" s="70" t="s">
        <v>85</v>
      </c>
      <c r="AC39" s="12">
        <v>3</v>
      </c>
      <c r="AD39" s="12">
        <v>3</v>
      </c>
      <c r="AE39" s="12">
        <v>3</v>
      </c>
      <c r="AF39" s="12">
        <v>3</v>
      </c>
      <c r="AG39" s="12">
        <v>3</v>
      </c>
      <c r="AH39" s="70"/>
      <c r="AI39" s="70"/>
      <c r="AJ39" s="12"/>
      <c r="AK39" s="12"/>
      <c r="AL39" s="15">
        <f t="shared" si="1"/>
        <v>45</v>
      </c>
      <c r="AM39" s="16"/>
      <c r="AN39" s="16"/>
      <c r="AO39" s="78">
        <f t="shared" si="0"/>
        <v>5</v>
      </c>
      <c r="AP39" s="5"/>
    </row>
    <row r="40" spans="1:42" x14ac:dyDescent="0.25">
      <c r="A40" s="18">
        <v>33</v>
      </c>
      <c r="B40" s="19"/>
      <c r="C40" s="54">
        <v>48181</v>
      </c>
      <c r="D40" s="54">
        <v>12427088608</v>
      </c>
      <c r="E40" s="54" t="s">
        <v>81</v>
      </c>
      <c r="F40" s="79" t="s">
        <v>16</v>
      </c>
      <c r="G40" s="70"/>
      <c r="H40" s="12"/>
      <c r="I40" s="12"/>
      <c r="J40" s="12"/>
      <c r="K40" s="12"/>
      <c r="L40" s="12"/>
      <c r="M40" s="70">
        <v>5</v>
      </c>
      <c r="N40" s="70">
        <v>5</v>
      </c>
      <c r="O40" s="12">
        <v>3</v>
      </c>
      <c r="P40" s="12">
        <v>3</v>
      </c>
      <c r="Q40" s="12">
        <v>3</v>
      </c>
      <c r="R40" s="12">
        <v>3</v>
      </c>
      <c r="S40" s="12">
        <v>3</v>
      </c>
      <c r="T40" s="70">
        <v>5</v>
      </c>
      <c r="U40" s="70"/>
      <c r="V40" s="12"/>
      <c r="W40" s="12"/>
      <c r="X40" s="12"/>
      <c r="Y40" s="12" t="s">
        <v>85</v>
      </c>
      <c r="Z40" s="12" t="s">
        <v>85</v>
      </c>
      <c r="AA40" s="70" t="s">
        <v>85</v>
      </c>
      <c r="AB40" s="70" t="s">
        <v>85</v>
      </c>
      <c r="AC40" s="12">
        <v>3</v>
      </c>
      <c r="AD40" s="12">
        <v>3</v>
      </c>
      <c r="AE40" s="12">
        <v>3</v>
      </c>
      <c r="AF40" s="12">
        <v>3</v>
      </c>
      <c r="AG40" s="12">
        <v>3</v>
      </c>
      <c r="AH40" s="70"/>
      <c r="AI40" s="70"/>
      <c r="AJ40" s="12"/>
      <c r="AK40" s="12"/>
      <c r="AL40" s="15">
        <f t="shared" si="1"/>
        <v>45</v>
      </c>
      <c r="AM40" s="16"/>
      <c r="AN40" s="16"/>
      <c r="AO40" s="78"/>
      <c r="AP40" s="5"/>
    </row>
    <row r="41" spans="1:42" x14ac:dyDescent="0.25">
      <c r="A41" s="18">
        <v>34</v>
      </c>
      <c r="B41" s="19"/>
      <c r="C41" s="54">
        <v>125837</v>
      </c>
      <c r="D41" s="54">
        <v>23699201800</v>
      </c>
      <c r="E41" s="21" t="s">
        <v>82</v>
      </c>
      <c r="F41" s="79" t="s">
        <v>16</v>
      </c>
      <c r="G41" s="70">
        <v>5</v>
      </c>
      <c r="H41" s="12">
        <v>3</v>
      </c>
      <c r="I41" s="12">
        <v>2</v>
      </c>
      <c r="J41" s="12"/>
      <c r="K41" s="12"/>
      <c r="L41" s="12"/>
      <c r="M41" s="70"/>
      <c r="N41" s="70"/>
      <c r="O41" s="12"/>
      <c r="P41" s="12"/>
      <c r="Q41" s="12"/>
      <c r="R41" s="12"/>
      <c r="S41" s="12"/>
      <c r="T41" s="70">
        <v>5</v>
      </c>
      <c r="U41" s="70">
        <v>5</v>
      </c>
      <c r="V41" s="12">
        <v>3</v>
      </c>
      <c r="W41" s="12">
        <v>3</v>
      </c>
      <c r="X41" s="12">
        <v>3</v>
      </c>
      <c r="Y41" s="12" t="s">
        <v>85</v>
      </c>
      <c r="Z41" s="12" t="s">
        <v>85</v>
      </c>
      <c r="AA41" s="70" t="s">
        <v>85</v>
      </c>
      <c r="AB41" s="70" t="s">
        <v>85</v>
      </c>
      <c r="AC41" s="12"/>
      <c r="AD41" s="12"/>
      <c r="AE41" s="12"/>
      <c r="AF41" s="12"/>
      <c r="AG41" s="12"/>
      <c r="AH41" s="70">
        <v>5</v>
      </c>
      <c r="AI41" s="70">
        <v>5</v>
      </c>
      <c r="AJ41" s="12">
        <v>3</v>
      </c>
      <c r="AK41" s="12">
        <v>3</v>
      </c>
      <c r="AL41" s="15">
        <f t="shared" si="1"/>
        <v>45</v>
      </c>
      <c r="AM41" s="16"/>
      <c r="AN41" s="16"/>
      <c r="AO41" s="78"/>
      <c r="AP41" s="5"/>
    </row>
    <row r="42" spans="1:42" x14ac:dyDescent="0.25">
      <c r="A42" s="18">
        <v>35</v>
      </c>
      <c r="B42" s="19"/>
      <c r="C42" s="75">
        <v>155043</v>
      </c>
      <c r="D42" s="54">
        <v>24637954178</v>
      </c>
      <c r="E42" s="21" t="s">
        <v>83</v>
      </c>
      <c r="F42" s="79" t="s">
        <v>16</v>
      </c>
      <c r="G42" s="70">
        <v>5</v>
      </c>
      <c r="H42" s="12">
        <v>3</v>
      </c>
      <c r="I42" s="12">
        <v>2</v>
      </c>
      <c r="J42" s="12"/>
      <c r="K42" s="12"/>
      <c r="L42" s="12"/>
      <c r="M42" s="70"/>
      <c r="N42" s="70"/>
      <c r="O42" s="12"/>
      <c r="P42" s="12"/>
      <c r="Q42" s="12"/>
      <c r="R42" s="12"/>
      <c r="S42" s="12"/>
      <c r="T42" s="70">
        <v>5</v>
      </c>
      <c r="U42" s="70">
        <v>5</v>
      </c>
      <c r="V42" s="12">
        <v>3</v>
      </c>
      <c r="W42" s="12">
        <v>3</v>
      </c>
      <c r="X42" s="12">
        <v>3</v>
      </c>
      <c r="Y42" s="12" t="s">
        <v>85</v>
      </c>
      <c r="Z42" s="12" t="s">
        <v>85</v>
      </c>
      <c r="AA42" s="70" t="s">
        <v>85</v>
      </c>
      <c r="AB42" s="70" t="s">
        <v>85</v>
      </c>
      <c r="AC42" s="12"/>
      <c r="AD42" s="12"/>
      <c r="AE42" s="12"/>
      <c r="AF42" s="12"/>
      <c r="AG42" s="12"/>
      <c r="AH42" s="70">
        <v>5</v>
      </c>
      <c r="AI42" s="70">
        <v>5</v>
      </c>
      <c r="AJ42" s="12">
        <v>3</v>
      </c>
      <c r="AK42" s="12">
        <v>3</v>
      </c>
      <c r="AL42" s="15">
        <f t="shared" si="1"/>
        <v>45</v>
      </c>
      <c r="AM42" s="16"/>
      <c r="AN42" s="16"/>
      <c r="AO42" s="78"/>
      <c r="AP42" s="5"/>
    </row>
    <row r="43" spans="1:42" x14ac:dyDescent="0.25">
      <c r="A43" s="18">
        <v>36</v>
      </c>
      <c r="B43" s="19"/>
      <c r="C43" s="75">
        <v>116479</v>
      </c>
      <c r="D43" s="54">
        <v>60505022976</v>
      </c>
      <c r="E43" s="21" t="s">
        <v>84</v>
      </c>
      <c r="F43" s="79" t="s">
        <v>16</v>
      </c>
      <c r="G43" s="70"/>
      <c r="H43" s="12"/>
      <c r="I43" s="12"/>
      <c r="J43" s="12"/>
      <c r="K43" s="12"/>
      <c r="L43" s="12"/>
      <c r="M43" s="70">
        <v>5</v>
      </c>
      <c r="N43" s="70">
        <v>5</v>
      </c>
      <c r="O43" s="12">
        <v>3</v>
      </c>
      <c r="P43" s="12">
        <v>3</v>
      </c>
      <c r="Q43" s="12">
        <v>3</v>
      </c>
      <c r="R43" s="12">
        <v>3</v>
      </c>
      <c r="S43" s="12">
        <v>3</v>
      </c>
      <c r="T43" s="70">
        <v>5</v>
      </c>
      <c r="U43" s="70"/>
      <c r="V43" s="12"/>
      <c r="W43" s="12"/>
      <c r="X43" s="12"/>
      <c r="Y43" s="12" t="s">
        <v>85</v>
      </c>
      <c r="Z43" s="12" t="s">
        <v>85</v>
      </c>
      <c r="AA43" s="70" t="s">
        <v>85</v>
      </c>
      <c r="AB43" s="70" t="s">
        <v>85</v>
      </c>
      <c r="AC43" s="12">
        <v>3</v>
      </c>
      <c r="AD43" s="12">
        <v>3</v>
      </c>
      <c r="AE43" s="12">
        <v>3</v>
      </c>
      <c r="AF43" s="12">
        <v>3</v>
      </c>
      <c r="AG43" s="12">
        <v>3</v>
      </c>
      <c r="AH43" s="70"/>
      <c r="AI43" s="70"/>
      <c r="AJ43" s="12"/>
      <c r="AK43" s="12"/>
      <c r="AL43" s="15">
        <f t="shared" si="1"/>
        <v>45</v>
      </c>
      <c r="AM43" s="16"/>
      <c r="AN43" s="16"/>
      <c r="AO43" s="78"/>
      <c r="AP43" s="5"/>
    </row>
    <row r="44" spans="1:42" x14ac:dyDescent="0.25">
      <c r="A44" s="18">
        <v>37</v>
      </c>
      <c r="B44" s="19"/>
      <c r="C44" s="75">
        <v>304750</v>
      </c>
      <c r="D44" s="54">
        <v>39448100010</v>
      </c>
      <c r="E44" s="21" t="s">
        <v>88</v>
      </c>
      <c r="F44" s="79" t="s">
        <v>16</v>
      </c>
      <c r="G44" s="70"/>
      <c r="H44" s="12"/>
      <c r="I44" s="12"/>
      <c r="J44" s="12"/>
      <c r="K44" s="12"/>
      <c r="L44" s="12"/>
      <c r="M44" s="70"/>
      <c r="N44" s="70"/>
      <c r="O44" s="12"/>
      <c r="P44" s="12"/>
      <c r="Q44" s="12"/>
      <c r="R44" s="12"/>
      <c r="S44" s="12"/>
      <c r="T44" s="70"/>
      <c r="U44" s="70"/>
      <c r="V44" s="12"/>
      <c r="W44" s="12"/>
      <c r="X44" s="12"/>
      <c r="Y44" s="12" t="s">
        <v>85</v>
      </c>
      <c r="Z44" s="12" t="s">
        <v>85</v>
      </c>
      <c r="AA44" s="70" t="s">
        <v>85</v>
      </c>
      <c r="AB44" s="70" t="s">
        <v>85</v>
      </c>
      <c r="AC44" s="12">
        <v>3</v>
      </c>
      <c r="AD44" s="12">
        <v>3</v>
      </c>
      <c r="AE44" s="12">
        <v>3</v>
      </c>
      <c r="AF44" s="12">
        <v>3</v>
      </c>
      <c r="AG44" s="12">
        <v>3</v>
      </c>
      <c r="AH44" s="70">
        <v>5</v>
      </c>
      <c r="AI44" s="70">
        <v>5</v>
      </c>
      <c r="AJ44" s="12">
        <v>3</v>
      </c>
      <c r="AK44" s="12">
        <v>3</v>
      </c>
      <c r="AL44" s="15">
        <f t="shared" si="1"/>
        <v>31</v>
      </c>
      <c r="AM44" s="16"/>
      <c r="AN44" s="16"/>
      <c r="AO44" s="78"/>
      <c r="AP44" s="5"/>
    </row>
    <row r="45" spans="1:42" x14ac:dyDescent="0.25">
      <c r="A45" s="18">
        <v>38</v>
      </c>
      <c r="B45" s="19"/>
      <c r="C45" s="75">
        <v>210222</v>
      </c>
      <c r="D45" s="54">
        <v>10429440486</v>
      </c>
      <c r="E45" s="21" t="s">
        <v>75</v>
      </c>
      <c r="F45" s="20" t="s">
        <v>29</v>
      </c>
      <c r="G45" s="70"/>
      <c r="H45" s="12">
        <v>3</v>
      </c>
      <c r="I45" s="12">
        <v>3</v>
      </c>
      <c r="J45" s="12">
        <v>3</v>
      </c>
      <c r="K45" s="12">
        <v>3</v>
      </c>
      <c r="L45" s="12">
        <v>3</v>
      </c>
      <c r="M45" s="70"/>
      <c r="N45" s="70"/>
      <c r="O45" s="12">
        <v>3</v>
      </c>
      <c r="P45" s="12">
        <v>3</v>
      </c>
      <c r="Q45" s="12">
        <v>3</v>
      </c>
      <c r="R45" s="12">
        <v>3</v>
      </c>
      <c r="S45" s="12">
        <v>3</v>
      </c>
      <c r="T45" s="70"/>
      <c r="U45" s="70"/>
      <c r="V45" s="12"/>
      <c r="W45" s="12"/>
      <c r="X45" s="12"/>
      <c r="Y45" s="12" t="s">
        <v>85</v>
      </c>
      <c r="Z45" s="12" t="s">
        <v>85</v>
      </c>
      <c r="AA45" s="70" t="s">
        <v>85</v>
      </c>
      <c r="AB45" s="70" t="s">
        <v>85</v>
      </c>
      <c r="AC45" s="12">
        <v>3</v>
      </c>
      <c r="AD45" s="12">
        <v>3</v>
      </c>
      <c r="AE45" s="12">
        <v>3</v>
      </c>
      <c r="AF45" s="12">
        <v>3</v>
      </c>
      <c r="AG45" s="12">
        <v>3</v>
      </c>
      <c r="AH45" s="70"/>
      <c r="AI45" s="70"/>
      <c r="AJ45" s="12"/>
      <c r="AK45" s="12"/>
      <c r="AL45" s="15">
        <f t="shared" si="1"/>
        <v>45</v>
      </c>
      <c r="AM45" s="16"/>
      <c r="AN45" s="16"/>
      <c r="AO45" s="78">
        <f t="shared" si="0"/>
        <v>5</v>
      </c>
      <c r="AP45" s="5"/>
    </row>
    <row r="46" spans="1:42" x14ac:dyDescent="0.25">
      <c r="A46" s="18">
        <v>39</v>
      </c>
      <c r="B46" s="19"/>
      <c r="C46" s="75">
        <v>229947</v>
      </c>
      <c r="D46" s="54">
        <v>25460594678</v>
      </c>
      <c r="E46" s="21" t="s">
        <v>76</v>
      </c>
      <c r="F46" s="20" t="s">
        <v>29</v>
      </c>
      <c r="G46" s="70"/>
      <c r="H46" s="12">
        <v>3</v>
      </c>
      <c r="I46" s="12">
        <v>3</v>
      </c>
      <c r="J46" s="12">
        <v>3</v>
      </c>
      <c r="K46" s="12">
        <v>3</v>
      </c>
      <c r="L46" s="12">
        <v>3</v>
      </c>
      <c r="M46" s="70"/>
      <c r="N46" s="70"/>
      <c r="O46" s="12">
        <v>3</v>
      </c>
      <c r="P46" s="12">
        <v>3</v>
      </c>
      <c r="Q46" s="12">
        <v>3</v>
      </c>
      <c r="R46" s="12">
        <v>3</v>
      </c>
      <c r="S46" s="12">
        <v>3</v>
      </c>
      <c r="T46" s="70"/>
      <c r="U46" s="70"/>
      <c r="V46" s="12"/>
      <c r="W46" s="12"/>
      <c r="X46" s="12"/>
      <c r="Y46" s="12" t="s">
        <v>85</v>
      </c>
      <c r="Z46" s="12" t="s">
        <v>85</v>
      </c>
      <c r="AA46" s="70" t="s">
        <v>85</v>
      </c>
      <c r="AB46" s="70" t="s">
        <v>85</v>
      </c>
      <c r="AC46" s="12">
        <v>3</v>
      </c>
      <c r="AD46" s="12">
        <v>3</v>
      </c>
      <c r="AE46" s="12">
        <v>3</v>
      </c>
      <c r="AF46" s="12">
        <v>3</v>
      </c>
      <c r="AG46" s="12">
        <v>3</v>
      </c>
      <c r="AH46" s="70"/>
      <c r="AI46" s="70"/>
      <c r="AJ46" s="12"/>
      <c r="AK46" s="12"/>
      <c r="AL46" s="15">
        <f t="shared" si="1"/>
        <v>45</v>
      </c>
      <c r="AM46" s="16"/>
      <c r="AN46" s="16"/>
      <c r="AO46" s="78">
        <f t="shared" si="0"/>
        <v>5</v>
      </c>
      <c r="AP46" s="5"/>
    </row>
    <row r="47" spans="1:42" x14ac:dyDescent="0.25">
      <c r="A47" s="9"/>
      <c r="B47" s="33"/>
      <c r="C47" s="109" t="s">
        <v>7</v>
      </c>
      <c r="D47" s="109"/>
      <c r="E47" s="109"/>
      <c r="F47" s="66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</row>
    <row r="48" spans="1:42" x14ac:dyDescent="0.25">
      <c r="A48" s="9"/>
      <c r="B48" s="33"/>
      <c r="C48" s="115" t="s">
        <v>8</v>
      </c>
      <c r="D48" s="115"/>
      <c r="E48" s="115"/>
      <c r="F48" s="34"/>
      <c r="G48" s="110" t="s">
        <v>21</v>
      </c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  <c r="AD48" s="110"/>
      <c r="AE48" s="110"/>
      <c r="AF48" s="110"/>
      <c r="AG48" s="110"/>
      <c r="AH48" s="110"/>
      <c r="AI48" s="110"/>
      <c r="AJ48" s="110"/>
      <c r="AK48" s="110"/>
      <c r="AL48" s="110"/>
      <c r="AM48" s="110"/>
      <c r="AN48" s="110"/>
    </row>
    <row r="49" spans="1:40" x14ac:dyDescent="0.25">
      <c r="A49" s="55" t="s">
        <v>21</v>
      </c>
      <c r="B49" s="35" t="s">
        <v>21</v>
      </c>
      <c r="C49" s="35" t="s">
        <v>21</v>
      </c>
      <c r="D49" s="35" t="s">
        <v>21</v>
      </c>
      <c r="E49" s="36" t="s">
        <v>21</v>
      </c>
      <c r="F49" s="37"/>
      <c r="G49" s="37"/>
      <c r="H49" s="37"/>
      <c r="I49" s="37"/>
      <c r="J49" s="37"/>
      <c r="K49" s="111" t="s">
        <v>9</v>
      </c>
      <c r="L49" s="111"/>
      <c r="M49" s="111"/>
      <c r="N49" s="111"/>
      <c r="O49" s="111"/>
      <c r="P49" s="111"/>
      <c r="Q49" s="111"/>
      <c r="R49" s="111"/>
      <c r="S49" s="37"/>
      <c r="T49" s="37"/>
      <c r="U49" s="111"/>
      <c r="V49" s="111"/>
      <c r="W49" s="111"/>
      <c r="X49" s="111"/>
      <c r="Y49" s="111"/>
      <c r="Z49" s="111"/>
      <c r="AA49" s="111"/>
      <c r="AB49" s="111"/>
      <c r="AD49" s="37"/>
      <c r="AE49" s="112" t="s">
        <v>10</v>
      </c>
      <c r="AF49" s="112"/>
      <c r="AG49" s="112"/>
      <c r="AH49" s="112"/>
      <c r="AI49" s="112"/>
      <c r="AJ49" s="112"/>
      <c r="AK49" s="112"/>
      <c r="AL49" s="112"/>
      <c r="AM49" s="112"/>
      <c r="AN49" s="112"/>
    </row>
    <row r="50" spans="1:40" x14ac:dyDescent="0.25">
      <c r="A50" s="55" t="s">
        <v>21</v>
      </c>
      <c r="B50" s="35" t="s">
        <v>21</v>
      </c>
      <c r="C50" s="35" t="s">
        <v>21</v>
      </c>
      <c r="D50" s="35" t="s">
        <v>21</v>
      </c>
      <c r="E50" s="38"/>
      <c r="F50" s="39"/>
      <c r="G50" s="113" t="s">
        <v>11</v>
      </c>
      <c r="H50" s="113"/>
      <c r="I50" s="113"/>
      <c r="J50" s="113"/>
      <c r="K50" s="111" t="s">
        <v>36</v>
      </c>
      <c r="L50" s="111"/>
      <c r="M50" s="111"/>
      <c r="N50" s="111"/>
      <c r="O50" s="111"/>
      <c r="P50" s="111"/>
      <c r="Q50" s="111"/>
      <c r="R50" s="111"/>
      <c r="S50" s="37"/>
      <c r="T50" s="37"/>
      <c r="U50" s="111"/>
      <c r="V50" s="111"/>
      <c r="W50" s="111"/>
      <c r="X50" s="111"/>
      <c r="Y50" s="111"/>
      <c r="Z50" s="111"/>
      <c r="AA50" s="111"/>
      <c r="AB50" s="111"/>
      <c r="AC50" s="37"/>
      <c r="AD50" s="37"/>
      <c r="AE50" s="114" t="s">
        <v>39</v>
      </c>
      <c r="AF50" s="114"/>
      <c r="AG50" s="114"/>
      <c r="AH50" s="114"/>
      <c r="AI50" s="114"/>
      <c r="AJ50" s="114"/>
      <c r="AK50" s="114"/>
      <c r="AL50" s="114"/>
      <c r="AM50" s="114"/>
      <c r="AN50" s="114"/>
    </row>
    <row r="51" spans="1:40" x14ac:dyDescent="0.25">
      <c r="A51" s="55"/>
      <c r="B51" s="35"/>
      <c r="C51" s="35"/>
      <c r="D51" s="35"/>
      <c r="E51" s="38"/>
      <c r="F51" s="39"/>
      <c r="G51" s="113" t="s">
        <v>12</v>
      </c>
      <c r="H51" s="113"/>
      <c r="I51" s="113"/>
      <c r="J51" s="113"/>
      <c r="K51" s="111" t="s">
        <v>13</v>
      </c>
      <c r="L51" s="111"/>
      <c r="M51" s="111"/>
      <c r="N51" s="111"/>
      <c r="O51" s="111"/>
      <c r="P51" s="111"/>
      <c r="Q51" s="111"/>
      <c r="R51" s="111"/>
      <c r="S51" s="37"/>
      <c r="T51" s="37"/>
      <c r="U51" s="111"/>
      <c r="V51" s="111"/>
      <c r="W51" s="111"/>
      <c r="X51" s="111"/>
      <c r="Y51" s="111"/>
      <c r="Z51" s="111"/>
      <c r="AA51" s="111"/>
      <c r="AB51" s="111"/>
      <c r="AC51" s="40"/>
      <c r="AD51" s="40"/>
      <c r="AE51" s="114" t="s">
        <v>35</v>
      </c>
      <c r="AF51" s="114"/>
      <c r="AG51" s="114"/>
      <c r="AH51" s="114"/>
      <c r="AI51" s="114"/>
      <c r="AJ51" s="114"/>
      <c r="AK51" s="114"/>
      <c r="AL51" s="114"/>
      <c r="AM51" s="114"/>
      <c r="AN51" s="114"/>
    </row>
    <row r="52" spans="1:40" x14ac:dyDescent="0.25">
      <c r="A52" s="55"/>
      <c r="B52" s="35"/>
      <c r="C52" s="35"/>
      <c r="D52" s="35"/>
      <c r="E52" s="38"/>
      <c r="F52" s="39"/>
      <c r="G52" s="113" t="s">
        <v>15</v>
      </c>
      <c r="H52" s="113"/>
      <c r="I52" s="113"/>
      <c r="J52" s="113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41"/>
      <c r="V52" s="41"/>
      <c r="W52" s="30"/>
      <c r="X52" s="30"/>
      <c r="Y52" s="30"/>
      <c r="Z52" s="30"/>
      <c r="AA52" s="30"/>
      <c r="AB52" s="30"/>
      <c r="AC52" s="30"/>
      <c r="AD52" s="30"/>
      <c r="AE52" s="30"/>
      <c r="AF52" s="41"/>
      <c r="AG52" s="41"/>
      <c r="AH52" s="41"/>
      <c r="AI52" s="41"/>
      <c r="AJ52" s="41"/>
      <c r="AK52" s="41"/>
      <c r="AL52" s="30"/>
      <c r="AM52" s="30"/>
      <c r="AN52" s="42"/>
    </row>
    <row r="53" spans="1:40" x14ac:dyDescent="0.25">
      <c r="A53" s="43"/>
      <c r="B53" s="45"/>
      <c r="C53" s="46"/>
      <c r="D53" s="46"/>
      <c r="E53" s="47"/>
      <c r="F53" s="44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48"/>
    </row>
    <row r="55" spans="1:40" x14ac:dyDescent="0.25">
      <c r="C55" s="68"/>
      <c r="E55" s="68"/>
      <c r="F55" s="27"/>
      <c r="G55" s="27"/>
      <c r="H55" s="27"/>
      <c r="I55" s="27"/>
      <c r="J55" s="27"/>
      <c r="K55" s="27"/>
    </row>
  </sheetData>
  <mergeCells count="24">
    <mergeCell ref="A1:AN2"/>
    <mergeCell ref="A4:B5"/>
    <mergeCell ref="C4:E4"/>
    <mergeCell ref="G4:AK5"/>
    <mergeCell ref="AL4:AN5"/>
    <mergeCell ref="C5:E5"/>
    <mergeCell ref="A6:D6"/>
    <mergeCell ref="G6:AK6"/>
    <mergeCell ref="C47:E47"/>
    <mergeCell ref="G47:AN47"/>
    <mergeCell ref="C48:E48"/>
    <mergeCell ref="G48:AN48"/>
    <mergeCell ref="K49:R49"/>
    <mergeCell ref="U49:AB49"/>
    <mergeCell ref="AE49:AN49"/>
    <mergeCell ref="G50:J50"/>
    <mergeCell ref="K50:R50"/>
    <mergeCell ref="U50:AB50"/>
    <mergeCell ref="AE50:AN50"/>
    <mergeCell ref="G51:J51"/>
    <mergeCell ref="K51:R51"/>
    <mergeCell ref="U51:AB51"/>
    <mergeCell ref="AE51:AN51"/>
    <mergeCell ref="G52:J52"/>
  </mergeCells>
  <printOptions horizontalCentered="1"/>
  <pageMargins left="0" right="0" top="0.31496062992125984" bottom="0.27559055118110237" header="0.51181102362204722" footer="0.51181102362204722"/>
  <pageSetup paperSize="9" scale="70" firstPageNumber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T54"/>
  <sheetViews>
    <sheetView topLeftCell="A4" zoomScale="130" zoomScaleNormal="130" workbookViewId="0">
      <pane xSplit="7" ySplit="4" topLeftCell="H8" activePane="bottomRight" state="frozen"/>
      <selection activeCell="A4" sqref="A4"/>
      <selection pane="topRight" activeCell="H4" sqref="H4"/>
      <selection pane="bottomLeft" activeCell="A9" sqref="A9"/>
      <selection pane="bottomRight" activeCell="G27" sqref="G27"/>
    </sheetView>
  </sheetViews>
  <sheetFormatPr defaultRowHeight="15" x14ac:dyDescent="0.25"/>
  <cols>
    <col min="1" max="1" width="7.28515625" style="67" customWidth="1"/>
    <col min="2" max="2" width="11.5703125" style="67" hidden="1"/>
    <col min="3" max="3" width="3" style="67" hidden="1" customWidth="1"/>
    <col min="4" max="4" width="10.42578125" style="69" customWidth="1"/>
    <col min="5" max="5" width="14.140625" style="69" customWidth="1"/>
    <col min="6" max="6" width="24.7109375" style="69" customWidth="1"/>
    <col min="7" max="7" width="18" style="67" customWidth="1"/>
    <col min="8" max="38" width="3.42578125" style="32" customWidth="1"/>
    <col min="39" max="254" width="8.140625" style="32" customWidth="1"/>
    <col min="255" max="1022" width="8.5703125" style="5" customWidth="1"/>
    <col min="1023" max="16384" width="9.140625" style="5"/>
  </cols>
  <sheetData>
    <row r="1" spans="1:43" ht="15.75" customHeight="1" x14ac:dyDescent="0.25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</row>
    <row r="2" spans="1:43" x14ac:dyDescent="0.25">
      <c r="A2" s="100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</row>
    <row r="3" spans="1:43" x14ac:dyDescent="0.25">
      <c r="A3" s="56"/>
      <c r="B3" s="57"/>
      <c r="C3" s="58"/>
      <c r="D3" s="59"/>
      <c r="E3" s="59"/>
      <c r="F3" s="60"/>
      <c r="G3" s="61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77"/>
    </row>
    <row r="4" spans="1:43" ht="24" customHeight="1" x14ac:dyDescent="0.25">
      <c r="A4" s="101" t="s">
        <v>17</v>
      </c>
      <c r="B4" s="101"/>
      <c r="C4" s="101"/>
      <c r="D4" s="102" t="s">
        <v>0</v>
      </c>
      <c r="E4" s="102"/>
      <c r="F4" s="102"/>
      <c r="G4" s="62"/>
      <c r="H4" s="103" t="s">
        <v>34</v>
      </c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5"/>
      <c r="AN4" s="105"/>
      <c r="AO4" s="105"/>
    </row>
    <row r="5" spans="1:43" ht="15.75" customHeight="1" x14ac:dyDescent="0.25">
      <c r="A5" s="101"/>
      <c r="B5" s="101"/>
      <c r="C5" s="101"/>
      <c r="D5" s="106" t="s">
        <v>38</v>
      </c>
      <c r="E5" s="106"/>
      <c r="F5" s="106"/>
      <c r="G5" s="63" t="s">
        <v>21</v>
      </c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5"/>
      <c r="AN5" s="105"/>
      <c r="AO5" s="105"/>
    </row>
    <row r="6" spans="1:43" ht="27" customHeight="1" x14ac:dyDescent="0.25">
      <c r="A6" s="107" t="s">
        <v>41</v>
      </c>
      <c r="B6" s="107"/>
      <c r="C6" s="107"/>
      <c r="D6" s="107"/>
      <c r="E6" s="107"/>
      <c r="F6" s="64" t="s">
        <v>40</v>
      </c>
      <c r="G6" s="72">
        <v>2026</v>
      </c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08"/>
      <c r="AM6" s="65"/>
      <c r="AN6" s="65"/>
      <c r="AO6" s="65"/>
    </row>
    <row r="7" spans="1:43" ht="25.5" x14ac:dyDescent="0.25">
      <c r="A7" s="9" t="s">
        <v>1</v>
      </c>
      <c r="B7" s="10" t="s">
        <v>2</v>
      </c>
      <c r="C7" s="23"/>
      <c r="D7" s="49" t="s">
        <v>20</v>
      </c>
      <c r="E7" s="50" t="s">
        <v>37</v>
      </c>
      <c r="F7" s="24" t="s">
        <v>18</v>
      </c>
      <c r="G7" s="22" t="s">
        <v>3</v>
      </c>
      <c r="H7" s="22">
        <v>1</v>
      </c>
      <c r="I7" s="22">
        <v>2</v>
      </c>
      <c r="J7" s="22">
        <v>3</v>
      </c>
      <c r="K7" s="22">
        <v>4</v>
      </c>
      <c r="L7" s="22">
        <v>5</v>
      </c>
      <c r="M7" s="22">
        <v>6</v>
      </c>
      <c r="N7" s="22">
        <v>7</v>
      </c>
      <c r="O7" s="22">
        <v>8</v>
      </c>
      <c r="P7" s="22">
        <v>9</v>
      </c>
      <c r="Q7" s="22">
        <v>10</v>
      </c>
      <c r="R7" s="22">
        <v>11</v>
      </c>
      <c r="S7" s="22">
        <v>12</v>
      </c>
      <c r="T7" s="22">
        <v>13</v>
      </c>
      <c r="U7" s="22">
        <v>14</v>
      </c>
      <c r="V7" s="22">
        <v>15</v>
      </c>
      <c r="W7" s="22">
        <v>16</v>
      </c>
      <c r="X7" s="22">
        <v>17</v>
      </c>
      <c r="Y7" s="22">
        <v>18</v>
      </c>
      <c r="Z7" s="22">
        <v>19</v>
      </c>
      <c r="AA7" s="22">
        <v>20</v>
      </c>
      <c r="AB7" s="22">
        <v>21</v>
      </c>
      <c r="AC7" s="22">
        <v>22</v>
      </c>
      <c r="AD7" s="22">
        <v>23</v>
      </c>
      <c r="AE7" s="22">
        <v>24</v>
      </c>
      <c r="AF7" s="22">
        <v>25</v>
      </c>
      <c r="AG7" s="22">
        <v>26</v>
      </c>
      <c r="AH7" s="22">
        <v>27</v>
      </c>
      <c r="AI7" s="22">
        <v>28</v>
      </c>
      <c r="AJ7" s="22">
        <v>29</v>
      </c>
      <c r="AK7" s="22">
        <v>30</v>
      </c>
      <c r="AL7" s="22">
        <v>31</v>
      </c>
      <c r="AM7" s="17" t="s">
        <v>4</v>
      </c>
      <c r="AN7" s="17" t="s">
        <v>5</v>
      </c>
      <c r="AO7" s="17" t="s">
        <v>6</v>
      </c>
    </row>
    <row r="8" spans="1:43" x14ac:dyDescent="0.25">
      <c r="A8" s="18">
        <v>1</v>
      </c>
      <c r="B8" s="19"/>
      <c r="C8" s="18"/>
      <c r="D8" s="51">
        <v>95738</v>
      </c>
      <c r="E8" s="52" t="s">
        <v>73</v>
      </c>
      <c r="F8" s="25" t="s">
        <v>74</v>
      </c>
      <c r="G8" s="20" t="s">
        <v>30</v>
      </c>
      <c r="H8" s="12"/>
      <c r="I8" s="12"/>
      <c r="J8" s="12"/>
      <c r="K8" s="12"/>
      <c r="L8" s="12">
        <v>2</v>
      </c>
      <c r="M8" s="12">
        <v>2</v>
      </c>
      <c r="N8" s="12">
        <v>2</v>
      </c>
      <c r="O8" s="12">
        <v>2</v>
      </c>
      <c r="P8" s="12">
        <v>2</v>
      </c>
      <c r="Q8" s="12">
        <v>5</v>
      </c>
      <c r="R8" s="12"/>
      <c r="S8" s="12">
        <v>2</v>
      </c>
      <c r="T8" s="12">
        <v>2</v>
      </c>
      <c r="U8" s="12">
        <v>2</v>
      </c>
      <c r="V8" s="12">
        <v>2</v>
      </c>
      <c r="W8" s="12">
        <v>2</v>
      </c>
      <c r="X8" s="12">
        <v>5</v>
      </c>
      <c r="Y8" s="12"/>
      <c r="Z8" s="12">
        <v>2</v>
      </c>
      <c r="AA8" s="12">
        <v>2</v>
      </c>
      <c r="AB8" s="12">
        <v>2</v>
      </c>
      <c r="AC8" s="12">
        <v>2</v>
      </c>
      <c r="AD8" s="12">
        <v>2</v>
      </c>
      <c r="AE8" s="12">
        <v>5</v>
      </c>
      <c r="AF8" s="12"/>
      <c r="AG8" s="12"/>
      <c r="AH8" s="12"/>
      <c r="AI8" s="12"/>
      <c r="AJ8" s="12"/>
      <c r="AK8" s="12"/>
      <c r="AL8" s="12"/>
      <c r="AM8" s="15">
        <f>SUM(H8:AL8)</f>
        <v>45</v>
      </c>
      <c r="AN8" s="17"/>
      <c r="AO8" s="17"/>
      <c r="AP8" s="78">
        <f t="shared" ref="AP8:AP45" si="0">50-AM8</f>
        <v>5</v>
      </c>
    </row>
    <row r="9" spans="1:43" x14ac:dyDescent="0.25">
      <c r="A9" s="18">
        <v>2</v>
      </c>
      <c r="B9" s="26"/>
      <c r="C9" s="19"/>
      <c r="D9" s="53">
        <v>292687</v>
      </c>
      <c r="E9" s="54">
        <v>17780206102</v>
      </c>
      <c r="F9" s="21" t="s">
        <v>42</v>
      </c>
      <c r="G9" s="20" t="s">
        <v>16</v>
      </c>
      <c r="H9" s="12"/>
      <c r="I9" s="12"/>
      <c r="J9" s="12"/>
      <c r="K9" s="12"/>
      <c r="L9" s="12">
        <v>2</v>
      </c>
      <c r="M9" s="12">
        <v>2</v>
      </c>
      <c r="N9" s="12">
        <v>2</v>
      </c>
      <c r="O9" s="12">
        <v>2</v>
      </c>
      <c r="P9" s="12">
        <v>2</v>
      </c>
      <c r="Q9" s="12">
        <v>5</v>
      </c>
      <c r="R9" s="12">
        <v>5</v>
      </c>
      <c r="S9" s="12">
        <v>2</v>
      </c>
      <c r="T9" s="12">
        <v>2</v>
      </c>
      <c r="U9" s="12">
        <v>2</v>
      </c>
      <c r="V9" s="12">
        <v>2</v>
      </c>
      <c r="W9" s="12">
        <v>2</v>
      </c>
      <c r="X9" s="12"/>
      <c r="Y9" s="12"/>
      <c r="Z9" s="12">
        <v>2</v>
      </c>
      <c r="AA9" s="12">
        <v>2</v>
      </c>
      <c r="AB9" s="12">
        <v>2</v>
      </c>
      <c r="AC9" s="12">
        <v>2</v>
      </c>
      <c r="AD9" s="12">
        <v>2</v>
      </c>
      <c r="AE9" s="12"/>
      <c r="AF9" s="12"/>
      <c r="AG9" s="12">
        <v>2</v>
      </c>
      <c r="AH9" s="12">
        <v>2</v>
      </c>
      <c r="AI9" s="12">
        <v>1</v>
      </c>
      <c r="AJ9" s="12"/>
      <c r="AK9" s="12"/>
      <c r="AL9" s="12"/>
      <c r="AM9" s="15">
        <f t="shared" ref="AM9:AM45" si="1">SUM(H9:AL9)</f>
        <v>45</v>
      </c>
      <c r="AN9" s="16"/>
      <c r="AO9" s="16"/>
      <c r="AP9" s="78">
        <f t="shared" si="0"/>
        <v>5</v>
      </c>
      <c r="AQ9" s="5"/>
    </row>
    <row r="10" spans="1:43" x14ac:dyDescent="0.25">
      <c r="A10" s="18">
        <v>3</v>
      </c>
      <c r="B10" s="26"/>
      <c r="C10" s="19"/>
      <c r="D10" s="53">
        <v>304066</v>
      </c>
      <c r="E10" s="28">
        <v>13435205384</v>
      </c>
      <c r="F10" s="21" t="s">
        <v>43</v>
      </c>
      <c r="G10" s="20" t="s">
        <v>16</v>
      </c>
      <c r="H10" s="12"/>
      <c r="I10" s="12"/>
      <c r="J10" s="12"/>
      <c r="K10" s="12"/>
      <c r="L10" s="12">
        <v>2</v>
      </c>
      <c r="M10" s="12">
        <v>2</v>
      </c>
      <c r="N10" s="12">
        <v>2</v>
      </c>
      <c r="O10" s="12">
        <v>2</v>
      </c>
      <c r="P10" s="12">
        <v>2</v>
      </c>
      <c r="Q10" s="12">
        <v>5</v>
      </c>
      <c r="R10" s="12">
        <v>5</v>
      </c>
      <c r="S10" s="12">
        <v>2</v>
      </c>
      <c r="T10" s="12">
        <v>2</v>
      </c>
      <c r="U10" s="12">
        <v>2</v>
      </c>
      <c r="V10" s="12">
        <v>2</v>
      </c>
      <c r="W10" s="12">
        <v>2</v>
      </c>
      <c r="X10" s="12"/>
      <c r="Y10" s="12"/>
      <c r="Z10" s="12">
        <v>2</v>
      </c>
      <c r="AA10" s="12">
        <v>2</v>
      </c>
      <c r="AB10" s="12">
        <v>2</v>
      </c>
      <c r="AC10" s="12">
        <v>2</v>
      </c>
      <c r="AD10" s="12">
        <v>2</v>
      </c>
      <c r="AE10" s="12"/>
      <c r="AF10" s="12"/>
      <c r="AG10" s="12">
        <v>2</v>
      </c>
      <c r="AH10" s="12">
        <v>2</v>
      </c>
      <c r="AI10" s="12">
        <v>1</v>
      </c>
      <c r="AJ10" s="12"/>
      <c r="AK10" s="12"/>
      <c r="AL10" s="12"/>
      <c r="AM10" s="15">
        <f t="shared" si="1"/>
        <v>45</v>
      </c>
      <c r="AN10" s="16"/>
      <c r="AO10" s="16"/>
      <c r="AP10" s="78">
        <f t="shared" si="0"/>
        <v>5</v>
      </c>
      <c r="AQ10" s="5"/>
    </row>
    <row r="11" spans="1:43" x14ac:dyDescent="0.25">
      <c r="A11" s="18">
        <v>4</v>
      </c>
      <c r="B11" s="26"/>
      <c r="C11" s="19"/>
      <c r="D11" s="53">
        <v>287485</v>
      </c>
      <c r="E11" s="54">
        <v>36779025470</v>
      </c>
      <c r="F11" s="21" t="s">
        <v>44</v>
      </c>
      <c r="G11" s="20" t="s">
        <v>16</v>
      </c>
      <c r="H11" s="12"/>
      <c r="I11" s="12"/>
      <c r="J11" s="12"/>
      <c r="K11" s="12"/>
      <c r="L11" s="12">
        <v>2</v>
      </c>
      <c r="M11" s="12">
        <v>2</v>
      </c>
      <c r="N11" s="12">
        <v>2</v>
      </c>
      <c r="O11" s="12">
        <v>2</v>
      </c>
      <c r="P11" s="12">
        <v>2</v>
      </c>
      <c r="Q11" s="12">
        <v>5</v>
      </c>
      <c r="R11" s="12">
        <v>5</v>
      </c>
      <c r="S11" s="12">
        <v>2</v>
      </c>
      <c r="T11" s="12">
        <v>2</v>
      </c>
      <c r="U11" s="12">
        <v>2</v>
      </c>
      <c r="V11" s="12">
        <v>2</v>
      </c>
      <c r="W11" s="12">
        <v>2</v>
      </c>
      <c r="X11" s="12"/>
      <c r="Y11" s="12"/>
      <c r="Z11" s="12">
        <v>2</v>
      </c>
      <c r="AA11" s="12">
        <v>2</v>
      </c>
      <c r="AB11" s="12">
        <v>2</v>
      </c>
      <c r="AC11" s="12">
        <v>2</v>
      </c>
      <c r="AD11" s="12">
        <v>2</v>
      </c>
      <c r="AE11" s="12"/>
      <c r="AF11" s="12"/>
      <c r="AG11" s="12">
        <v>2</v>
      </c>
      <c r="AH11" s="12">
        <v>2</v>
      </c>
      <c r="AI11" s="12">
        <v>1</v>
      </c>
      <c r="AJ11" s="12"/>
      <c r="AK11" s="12"/>
      <c r="AL11" s="12"/>
      <c r="AM11" s="15">
        <f t="shared" si="1"/>
        <v>45</v>
      </c>
      <c r="AN11" s="16"/>
      <c r="AO11" s="16"/>
      <c r="AP11" s="78">
        <f t="shared" si="0"/>
        <v>5</v>
      </c>
      <c r="AQ11" s="5"/>
    </row>
    <row r="12" spans="1:43" x14ac:dyDescent="0.25">
      <c r="A12" s="18">
        <v>5</v>
      </c>
      <c r="B12" s="26"/>
      <c r="C12" s="19"/>
      <c r="D12" s="53">
        <v>287520</v>
      </c>
      <c r="E12" s="54">
        <v>47089654014</v>
      </c>
      <c r="F12" s="21" t="s">
        <v>45</v>
      </c>
      <c r="G12" s="20" t="s">
        <v>16</v>
      </c>
      <c r="H12" s="12"/>
      <c r="I12" s="12"/>
      <c r="J12" s="12"/>
      <c r="K12" s="12"/>
      <c r="L12" s="12">
        <v>2</v>
      </c>
      <c r="M12" s="12">
        <v>2</v>
      </c>
      <c r="N12" s="12">
        <v>2</v>
      </c>
      <c r="O12" s="12">
        <v>2</v>
      </c>
      <c r="P12" s="12">
        <v>2</v>
      </c>
      <c r="Q12" s="12">
        <v>5</v>
      </c>
      <c r="R12" s="12">
        <v>5</v>
      </c>
      <c r="S12" s="12">
        <v>2</v>
      </c>
      <c r="T12" s="12">
        <v>2</v>
      </c>
      <c r="U12" s="12">
        <v>2</v>
      </c>
      <c r="V12" s="12"/>
      <c r="W12" s="12"/>
      <c r="X12" s="12"/>
      <c r="Y12" s="12"/>
      <c r="Z12" s="12">
        <v>2</v>
      </c>
      <c r="AA12" s="12">
        <v>2</v>
      </c>
      <c r="AB12" s="12">
        <v>2</v>
      </c>
      <c r="AC12" s="12">
        <v>2</v>
      </c>
      <c r="AD12" s="12">
        <v>2</v>
      </c>
      <c r="AE12" s="12">
        <v>1</v>
      </c>
      <c r="AF12" s="12"/>
      <c r="AG12" s="12">
        <v>2</v>
      </c>
      <c r="AH12" s="12">
        <v>2</v>
      </c>
      <c r="AI12" s="12">
        <v>2</v>
      </c>
      <c r="AJ12" s="12">
        <v>2</v>
      </c>
      <c r="AK12" s="12"/>
      <c r="AL12" s="12"/>
      <c r="AM12" s="15">
        <f t="shared" si="1"/>
        <v>45</v>
      </c>
      <c r="AN12" s="16"/>
      <c r="AO12" s="16"/>
      <c r="AP12" s="78">
        <f t="shared" si="0"/>
        <v>5</v>
      </c>
      <c r="AQ12" s="5"/>
    </row>
    <row r="13" spans="1:43" x14ac:dyDescent="0.25">
      <c r="A13" s="18">
        <v>6</v>
      </c>
      <c r="B13" s="26"/>
      <c r="C13" s="19"/>
      <c r="D13" s="53">
        <v>287385</v>
      </c>
      <c r="E13" s="54">
        <v>16145792892</v>
      </c>
      <c r="F13" s="21" t="s">
        <v>46</v>
      </c>
      <c r="G13" s="20" t="s">
        <v>16</v>
      </c>
      <c r="H13" s="12"/>
      <c r="I13" s="12"/>
      <c r="J13" s="12"/>
      <c r="K13" s="12"/>
      <c r="L13" s="12">
        <v>2</v>
      </c>
      <c r="M13" s="12">
        <v>2</v>
      </c>
      <c r="N13" s="12">
        <v>2</v>
      </c>
      <c r="O13" s="12">
        <v>2</v>
      </c>
      <c r="P13" s="12">
        <v>2</v>
      </c>
      <c r="Q13" s="12">
        <v>5</v>
      </c>
      <c r="R13" s="12">
        <v>5</v>
      </c>
      <c r="S13" s="12">
        <v>2</v>
      </c>
      <c r="T13" s="12">
        <v>2</v>
      </c>
      <c r="U13" s="12">
        <v>2</v>
      </c>
      <c r="V13" s="12">
        <v>2</v>
      </c>
      <c r="W13" s="12">
        <v>2</v>
      </c>
      <c r="X13" s="12"/>
      <c r="Y13" s="12"/>
      <c r="Z13" s="12">
        <v>2</v>
      </c>
      <c r="AA13" s="12">
        <v>2</v>
      </c>
      <c r="AB13" s="12">
        <v>2</v>
      </c>
      <c r="AC13" s="12">
        <v>2</v>
      </c>
      <c r="AD13" s="12">
        <v>2</v>
      </c>
      <c r="AE13" s="12"/>
      <c r="AF13" s="12"/>
      <c r="AG13" s="12">
        <v>2</v>
      </c>
      <c r="AH13" s="12">
        <v>2</v>
      </c>
      <c r="AI13" s="12">
        <v>1</v>
      </c>
      <c r="AJ13" s="12"/>
      <c r="AK13" s="12"/>
      <c r="AL13" s="12"/>
      <c r="AM13" s="15">
        <f t="shared" si="1"/>
        <v>45</v>
      </c>
      <c r="AN13" s="16"/>
      <c r="AO13" s="16"/>
      <c r="AP13" s="78">
        <f t="shared" si="0"/>
        <v>5</v>
      </c>
      <c r="AQ13" s="5"/>
    </row>
    <row r="14" spans="1:43" x14ac:dyDescent="0.25">
      <c r="A14" s="18">
        <v>7</v>
      </c>
      <c r="B14" s="26"/>
      <c r="C14" s="19"/>
      <c r="D14" s="53">
        <v>304070</v>
      </c>
      <c r="E14" s="54">
        <v>20564502116</v>
      </c>
      <c r="F14" s="21" t="s">
        <v>47</v>
      </c>
      <c r="G14" s="20" t="s">
        <v>16</v>
      </c>
      <c r="H14" s="12"/>
      <c r="I14" s="12"/>
      <c r="J14" s="12"/>
      <c r="K14" s="12"/>
      <c r="L14" s="12">
        <v>2</v>
      </c>
      <c r="M14" s="12">
        <v>2</v>
      </c>
      <c r="N14" s="12">
        <v>2</v>
      </c>
      <c r="O14" s="12">
        <v>2</v>
      </c>
      <c r="P14" s="12">
        <v>2</v>
      </c>
      <c r="Q14" s="12">
        <v>5</v>
      </c>
      <c r="R14" s="12">
        <v>5</v>
      </c>
      <c r="S14" s="12">
        <v>2</v>
      </c>
      <c r="T14" s="12">
        <v>2</v>
      </c>
      <c r="U14" s="12">
        <v>2</v>
      </c>
      <c r="V14" s="12">
        <v>2</v>
      </c>
      <c r="W14" s="12">
        <v>2</v>
      </c>
      <c r="X14" s="12"/>
      <c r="Y14" s="12"/>
      <c r="Z14" s="12">
        <v>2</v>
      </c>
      <c r="AA14" s="12">
        <v>2</v>
      </c>
      <c r="AB14" s="12">
        <v>2</v>
      </c>
      <c r="AC14" s="12">
        <v>2</v>
      </c>
      <c r="AD14" s="12">
        <v>2</v>
      </c>
      <c r="AE14" s="12"/>
      <c r="AF14" s="12"/>
      <c r="AG14" s="12">
        <v>2</v>
      </c>
      <c r="AH14" s="12">
        <v>2</v>
      </c>
      <c r="AI14" s="12">
        <v>1</v>
      </c>
      <c r="AJ14" s="12"/>
      <c r="AK14" s="12"/>
      <c r="AL14" s="12"/>
      <c r="AM14" s="15">
        <f t="shared" si="1"/>
        <v>45</v>
      </c>
      <c r="AN14" s="16"/>
      <c r="AO14" s="16"/>
      <c r="AP14" s="78">
        <f t="shared" si="0"/>
        <v>5</v>
      </c>
      <c r="AQ14" s="5"/>
    </row>
    <row r="15" spans="1:43" x14ac:dyDescent="0.25">
      <c r="A15" s="18">
        <v>8</v>
      </c>
      <c r="B15" s="26"/>
      <c r="C15" s="19"/>
      <c r="D15" s="53">
        <v>304615</v>
      </c>
      <c r="E15" s="54">
        <v>17788074710</v>
      </c>
      <c r="F15" s="21" t="s">
        <v>48</v>
      </c>
      <c r="G15" s="20" t="s">
        <v>16</v>
      </c>
      <c r="H15" s="12"/>
      <c r="I15" s="12"/>
      <c r="J15" s="12"/>
      <c r="K15" s="12">
        <v>5</v>
      </c>
      <c r="L15" s="12">
        <v>2</v>
      </c>
      <c r="M15" s="12">
        <v>2</v>
      </c>
      <c r="N15" s="12">
        <v>2</v>
      </c>
      <c r="O15" s="12">
        <v>2</v>
      </c>
      <c r="P15" s="12">
        <v>2</v>
      </c>
      <c r="Q15" s="12">
        <v>5</v>
      </c>
      <c r="R15" s="12">
        <v>5</v>
      </c>
      <c r="S15" s="12">
        <v>2</v>
      </c>
      <c r="T15" s="12">
        <v>2</v>
      </c>
      <c r="U15" s="12">
        <v>2</v>
      </c>
      <c r="V15" s="12">
        <v>2</v>
      </c>
      <c r="W15" s="12">
        <v>2</v>
      </c>
      <c r="X15" s="12">
        <v>5</v>
      </c>
      <c r="Y15" s="12">
        <v>5</v>
      </c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5">
        <f t="shared" si="1"/>
        <v>45</v>
      </c>
      <c r="AN15" s="16"/>
      <c r="AO15" s="16"/>
      <c r="AP15" s="78">
        <f t="shared" si="0"/>
        <v>5</v>
      </c>
      <c r="AQ15" s="5"/>
    </row>
    <row r="16" spans="1:43" x14ac:dyDescent="0.25">
      <c r="A16" s="18">
        <v>9</v>
      </c>
      <c r="B16" s="26"/>
      <c r="C16" s="19"/>
      <c r="D16" s="53">
        <v>287441</v>
      </c>
      <c r="E16" s="54">
        <v>26831423368</v>
      </c>
      <c r="F16" s="21" t="s">
        <v>49</v>
      </c>
      <c r="G16" s="20" t="s">
        <v>16</v>
      </c>
      <c r="H16" s="12"/>
      <c r="I16" s="12"/>
      <c r="J16" s="12"/>
      <c r="K16" s="12"/>
      <c r="L16" s="12">
        <v>2</v>
      </c>
      <c r="M16" s="12">
        <v>2</v>
      </c>
      <c r="N16" s="12">
        <v>2</v>
      </c>
      <c r="O16" s="12">
        <v>2</v>
      </c>
      <c r="P16" s="12">
        <v>2</v>
      </c>
      <c r="Q16" s="12">
        <v>5</v>
      </c>
      <c r="R16" s="12">
        <v>5</v>
      </c>
      <c r="S16" s="12">
        <v>2</v>
      </c>
      <c r="T16" s="12">
        <v>2</v>
      </c>
      <c r="U16" s="12">
        <v>2</v>
      </c>
      <c r="V16" s="12">
        <v>2</v>
      </c>
      <c r="W16" s="12">
        <v>2</v>
      </c>
      <c r="X16" s="12"/>
      <c r="Y16" s="12"/>
      <c r="Z16" s="12">
        <v>2</v>
      </c>
      <c r="AA16" s="12">
        <v>2</v>
      </c>
      <c r="AB16" s="12">
        <v>2</v>
      </c>
      <c r="AC16" s="12">
        <v>2</v>
      </c>
      <c r="AD16" s="12">
        <v>2</v>
      </c>
      <c r="AE16" s="12"/>
      <c r="AF16" s="12"/>
      <c r="AG16" s="12">
        <v>2</v>
      </c>
      <c r="AH16" s="12">
        <v>2</v>
      </c>
      <c r="AI16" s="12">
        <v>1</v>
      </c>
      <c r="AJ16" s="12"/>
      <c r="AK16" s="12"/>
      <c r="AL16" s="12"/>
      <c r="AM16" s="15">
        <f t="shared" si="1"/>
        <v>45</v>
      </c>
      <c r="AN16" s="16"/>
      <c r="AO16" s="16"/>
      <c r="AP16" s="78">
        <f t="shared" si="0"/>
        <v>5</v>
      </c>
      <c r="AQ16" s="5"/>
    </row>
    <row r="17" spans="1:43" x14ac:dyDescent="0.25">
      <c r="A17" s="18">
        <v>10</v>
      </c>
      <c r="B17" s="26"/>
      <c r="C17" s="19"/>
      <c r="D17" s="53">
        <v>304647</v>
      </c>
      <c r="E17" s="54">
        <v>46657910828</v>
      </c>
      <c r="F17" s="21" t="s">
        <v>50</v>
      </c>
      <c r="G17" s="20" t="s">
        <v>16</v>
      </c>
      <c r="H17" s="12"/>
      <c r="I17" s="12"/>
      <c r="J17" s="12"/>
      <c r="K17" s="12"/>
      <c r="L17" s="12">
        <v>2</v>
      </c>
      <c r="M17" s="12">
        <v>2</v>
      </c>
      <c r="N17" s="12">
        <v>2</v>
      </c>
      <c r="O17" s="12">
        <v>2</v>
      </c>
      <c r="P17" s="12">
        <v>2</v>
      </c>
      <c r="Q17" s="12">
        <v>5</v>
      </c>
      <c r="R17" s="12">
        <v>5</v>
      </c>
      <c r="S17" s="12">
        <v>2</v>
      </c>
      <c r="T17" s="12">
        <v>2</v>
      </c>
      <c r="U17" s="12">
        <v>2</v>
      </c>
      <c r="V17" s="12">
        <v>2</v>
      </c>
      <c r="W17" s="12">
        <v>2</v>
      </c>
      <c r="X17" s="12"/>
      <c r="Y17" s="12"/>
      <c r="Z17" s="12">
        <v>2</v>
      </c>
      <c r="AA17" s="12">
        <v>2</v>
      </c>
      <c r="AB17" s="12">
        <v>2</v>
      </c>
      <c r="AC17" s="12">
        <v>2</v>
      </c>
      <c r="AD17" s="12">
        <v>2</v>
      </c>
      <c r="AE17" s="12"/>
      <c r="AF17" s="12"/>
      <c r="AG17" s="12">
        <v>2</v>
      </c>
      <c r="AH17" s="12">
        <v>2</v>
      </c>
      <c r="AI17" s="12">
        <v>1</v>
      </c>
      <c r="AJ17" s="12"/>
      <c r="AK17" s="12"/>
      <c r="AL17" s="12"/>
      <c r="AM17" s="15">
        <f t="shared" si="1"/>
        <v>45</v>
      </c>
      <c r="AN17" s="16"/>
      <c r="AO17" s="16"/>
      <c r="AP17" s="78">
        <f t="shared" si="0"/>
        <v>5</v>
      </c>
      <c r="AQ17" s="5"/>
    </row>
    <row r="18" spans="1:43" x14ac:dyDescent="0.25">
      <c r="A18" s="18">
        <v>11</v>
      </c>
      <c r="B18" s="26"/>
      <c r="C18" s="19"/>
      <c r="D18" s="53">
        <v>304777</v>
      </c>
      <c r="E18" s="54">
        <v>55948486874</v>
      </c>
      <c r="F18" s="21" t="s">
        <v>51</v>
      </c>
      <c r="G18" s="20" t="s">
        <v>16</v>
      </c>
      <c r="H18" s="12"/>
      <c r="I18" s="12"/>
      <c r="J18" s="12"/>
      <c r="K18" s="12"/>
      <c r="L18" s="12">
        <v>2</v>
      </c>
      <c r="M18" s="12">
        <v>2</v>
      </c>
      <c r="N18" s="12">
        <v>2</v>
      </c>
      <c r="O18" s="12">
        <v>2</v>
      </c>
      <c r="P18" s="12">
        <v>2</v>
      </c>
      <c r="Q18" s="12">
        <v>5</v>
      </c>
      <c r="R18" s="12">
        <v>5</v>
      </c>
      <c r="S18" s="12">
        <v>2</v>
      </c>
      <c r="T18" s="12">
        <v>2</v>
      </c>
      <c r="U18" s="12">
        <v>2</v>
      </c>
      <c r="V18" s="12">
        <v>2</v>
      </c>
      <c r="W18" s="12">
        <v>2</v>
      </c>
      <c r="X18" s="12"/>
      <c r="Y18" s="12"/>
      <c r="Z18" s="12">
        <v>2</v>
      </c>
      <c r="AA18" s="12">
        <v>2</v>
      </c>
      <c r="AB18" s="12">
        <v>2</v>
      </c>
      <c r="AC18" s="12">
        <v>2</v>
      </c>
      <c r="AD18" s="12">
        <v>2</v>
      </c>
      <c r="AE18" s="12"/>
      <c r="AF18" s="12"/>
      <c r="AG18" s="12">
        <v>2</v>
      </c>
      <c r="AH18" s="12">
        <v>2</v>
      </c>
      <c r="AI18" s="12">
        <v>1</v>
      </c>
      <c r="AJ18" s="12"/>
      <c r="AK18" s="12"/>
      <c r="AL18" s="12"/>
      <c r="AM18" s="15">
        <f t="shared" si="1"/>
        <v>45</v>
      </c>
      <c r="AN18" s="16"/>
      <c r="AO18" s="16"/>
      <c r="AP18" s="78">
        <f t="shared" si="0"/>
        <v>5</v>
      </c>
      <c r="AQ18" s="5"/>
    </row>
    <row r="19" spans="1:43" x14ac:dyDescent="0.25">
      <c r="A19" s="18">
        <v>12</v>
      </c>
      <c r="B19" s="26"/>
      <c r="C19" s="19"/>
      <c r="D19" s="53">
        <v>304760</v>
      </c>
      <c r="E19" s="54">
        <v>41857369766</v>
      </c>
      <c r="F19" s="21" t="s">
        <v>52</v>
      </c>
      <c r="G19" s="20" t="s">
        <v>16</v>
      </c>
      <c r="H19" s="12"/>
      <c r="I19" s="12"/>
      <c r="J19" s="12"/>
      <c r="K19" s="12"/>
      <c r="L19" s="12">
        <v>1</v>
      </c>
      <c r="M19" s="12">
        <v>2</v>
      </c>
      <c r="N19" s="12">
        <v>2</v>
      </c>
      <c r="O19" s="12">
        <v>2</v>
      </c>
      <c r="P19" s="12">
        <v>2</v>
      </c>
      <c r="Q19" s="12">
        <v>5</v>
      </c>
      <c r="R19" s="12">
        <v>5</v>
      </c>
      <c r="S19" s="12">
        <v>2</v>
      </c>
      <c r="T19" s="12">
        <v>2</v>
      </c>
      <c r="U19" s="12">
        <v>2</v>
      </c>
      <c r="V19" s="12">
        <v>2</v>
      </c>
      <c r="W19" s="12">
        <v>2</v>
      </c>
      <c r="X19" s="12"/>
      <c r="Y19" s="12"/>
      <c r="Z19" s="12">
        <v>2</v>
      </c>
      <c r="AA19" s="12"/>
      <c r="AB19" s="12">
        <v>2</v>
      </c>
      <c r="AC19" s="12">
        <v>2</v>
      </c>
      <c r="AD19" s="12">
        <v>2</v>
      </c>
      <c r="AE19" s="12"/>
      <c r="AF19" s="12"/>
      <c r="AG19" s="12">
        <v>2</v>
      </c>
      <c r="AH19" s="12"/>
      <c r="AI19" s="12">
        <v>2</v>
      </c>
      <c r="AJ19" s="12">
        <v>2</v>
      </c>
      <c r="AK19" s="12">
        <v>2</v>
      </c>
      <c r="AL19" s="12"/>
      <c r="AM19" s="15">
        <f t="shared" si="1"/>
        <v>45</v>
      </c>
      <c r="AN19" s="16"/>
      <c r="AO19" s="16"/>
      <c r="AP19" s="78">
        <f t="shared" si="0"/>
        <v>5</v>
      </c>
      <c r="AQ19" s="5"/>
    </row>
    <row r="20" spans="1:43" x14ac:dyDescent="0.25">
      <c r="A20" s="18">
        <v>13</v>
      </c>
      <c r="B20" s="26"/>
      <c r="C20" s="19"/>
      <c r="D20" s="53">
        <v>110942</v>
      </c>
      <c r="E20" s="54">
        <v>12065762830</v>
      </c>
      <c r="F20" s="21" t="s">
        <v>53</v>
      </c>
      <c r="G20" s="20" t="s">
        <v>16</v>
      </c>
      <c r="H20" s="12"/>
      <c r="I20" s="12"/>
      <c r="J20" s="12"/>
      <c r="K20" s="12"/>
      <c r="L20" s="12"/>
      <c r="M20" s="12"/>
      <c r="N20" s="12"/>
      <c r="O20" s="12"/>
      <c r="P20" s="12"/>
      <c r="Q20" s="12">
        <v>5</v>
      </c>
      <c r="R20" s="12">
        <v>5</v>
      </c>
      <c r="S20" s="12">
        <v>2</v>
      </c>
      <c r="T20" s="12">
        <v>2</v>
      </c>
      <c r="U20" s="12">
        <v>2</v>
      </c>
      <c r="V20" s="12">
        <v>2</v>
      </c>
      <c r="W20" s="12">
        <v>2</v>
      </c>
      <c r="X20" s="12">
        <v>5</v>
      </c>
      <c r="Y20" s="12"/>
      <c r="Z20" s="12">
        <v>2</v>
      </c>
      <c r="AA20" s="12">
        <v>2</v>
      </c>
      <c r="AB20" s="12">
        <v>2</v>
      </c>
      <c r="AC20" s="12">
        <v>2</v>
      </c>
      <c r="AD20" s="12">
        <v>2</v>
      </c>
      <c r="AE20" s="12"/>
      <c r="AF20" s="12"/>
      <c r="AG20" s="12">
        <v>2</v>
      </c>
      <c r="AH20" s="12">
        <v>2</v>
      </c>
      <c r="AI20" s="12">
        <v>2</v>
      </c>
      <c r="AJ20" s="12">
        <v>2</v>
      </c>
      <c r="AK20" s="12">
        <v>2</v>
      </c>
      <c r="AL20" s="12"/>
      <c r="AM20" s="15">
        <f t="shared" si="1"/>
        <v>45</v>
      </c>
      <c r="AN20" s="16"/>
      <c r="AO20" s="16"/>
      <c r="AP20" s="78">
        <f t="shared" si="0"/>
        <v>5</v>
      </c>
      <c r="AQ20" s="5"/>
    </row>
    <row r="21" spans="1:43" x14ac:dyDescent="0.25">
      <c r="A21" s="18">
        <v>14</v>
      </c>
      <c r="B21" s="26"/>
      <c r="C21" s="19"/>
      <c r="D21" s="53">
        <v>229779</v>
      </c>
      <c r="E21" s="54">
        <v>21281416588</v>
      </c>
      <c r="F21" s="21" t="s">
        <v>54</v>
      </c>
      <c r="G21" s="20" t="s">
        <v>16</v>
      </c>
      <c r="H21" s="12"/>
      <c r="I21" s="12"/>
      <c r="J21" s="12"/>
      <c r="K21" s="12"/>
      <c r="L21" s="12">
        <v>2</v>
      </c>
      <c r="M21" s="12">
        <v>2</v>
      </c>
      <c r="N21" s="12">
        <v>2</v>
      </c>
      <c r="O21" s="12">
        <v>2</v>
      </c>
      <c r="P21" s="12">
        <v>2</v>
      </c>
      <c r="Q21" s="12">
        <v>5</v>
      </c>
      <c r="R21" s="12">
        <v>5</v>
      </c>
      <c r="S21" s="12">
        <v>2</v>
      </c>
      <c r="T21" s="12">
        <v>2</v>
      </c>
      <c r="U21" s="12">
        <v>2</v>
      </c>
      <c r="V21" s="12">
        <v>2</v>
      </c>
      <c r="W21" s="12">
        <v>2</v>
      </c>
      <c r="X21" s="12"/>
      <c r="Y21" s="12"/>
      <c r="Z21" s="12">
        <v>2</v>
      </c>
      <c r="AA21" s="12">
        <v>2</v>
      </c>
      <c r="AB21" s="12">
        <v>2</v>
      </c>
      <c r="AC21" s="12">
        <v>2</v>
      </c>
      <c r="AD21" s="12">
        <v>2</v>
      </c>
      <c r="AE21" s="12"/>
      <c r="AF21" s="12"/>
      <c r="AG21" s="12">
        <v>2</v>
      </c>
      <c r="AH21" s="12">
        <v>2</v>
      </c>
      <c r="AI21" s="12">
        <v>1</v>
      </c>
      <c r="AJ21" s="12"/>
      <c r="AK21" s="12"/>
      <c r="AL21" s="12"/>
      <c r="AM21" s="15">
        <f t="shared" si="1"/>
        <v>45</v>
      </c>
      <c r="AN21" s="16"/>
      <c r="AO21" s="16"/>
      <c r="AP21" s="78">
        <f t="shared" si="0"/>
        <v>5</v>
      </c>
      <c r="AQ21" s="5"/>
    </row>
    <row r="22" spans="1:43" x14ac:dyDescent="0.25">
      <c r="A22" s="18">
        <v>15</v>
      </c>
      <c r="B22" s="26"/>
      <c r="C22" s="19"/>
      <c r="D22" s="53">
        <v>253212</v>
      </c>
      <c r="E22" s="54">
        <v>15344845576</v>
      </c>
      <c r="F22" s="21" t="s">
        <v>55</v>
      </c>
      <c r="G22" s="20" t="s">
        <v>16</v>
      </c>
      <c r="H22" s="12"/>
      <c r="I22" s="12"/>
      <c r="J22" s="12"/>
      <c r="K22" s="12">
        <v>5</v>
      </c>
      <c r="L22" s="12">
        <v>3</v>
      </c>
      <c r="M22" s="12">
        <v>3</v>
      </c>
      <c r="N22" s="12">
        <v>3</v>
      </c>
      <c r="O22" s="12">
        <v>3</v>
      </c>
      <c r="P22" s="12">
        <v>3</v>
      </c>
      <c r="Q22" s="12">
        <v>5</v>
      </c>
      <c r="R22" s="12">
        <v>5</v>
      </c>
      <c r="S22" s="12">
        <v>3</v>
      </c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>
        <v>3</v>
      </c>
      <c r="AH22" s="12">
        <v>3</v>
      </c>
      <c r="AI22" s="12">
        <v>2</v>
      </c>
      <c r="AJ22" s="12">
        <v>2</v>
      </c>
      <c r="AK22" s="12">
        <v>2</v>
      </c>
      <c r="AL22" s="12"/>
      <c r="AM22" s="15">
        <f t="shared" si="1"/>
        <v>45</v>
      </c>
      <c r="AN22" s="16"/>
      <c r="AO22" s="16"/>
      <c r="AP22" s="78">
        <f t="shared" si="0"/>
        <v>5</v>
      </c>
      <c r="AQ22" s="5"/>
    </row>
    <row r="23" spans="1:43" x14ac:dyDescent="0.25">
      <c r="A23" s="18">
        <v>16</v>
      </c>
      <c r="B23" s="26"/>
      <c r="C23" s="19"/>
      <c r="D23" s="53">
        <v>222207</v>
      </c>
      <c r="E23" s="54">
        <v>13879006622</v>
      </c>
      <c r="F23" s="21" t="s">
        <v>56</v>
      </c>
      <c r="G23" s="20" t="s">
        <v>16</v>
      </c>
      <c r="H23" s="12"/>
      <c r="I23" s="12"/>
      <c r="J23" s="12"/>
      <c r="K23" s="12"/>
      <c r="L23" s="12">
        <v>2</v>
      </c>
      <c r="M23" s="12">
        <v>2</v>
      </c>
      <c r="N23" s="12">
        <v>2</v>
      </c>
      <c r="O23" s="12">
        <v>2</v>
      </c>
      <c r="P23" s="12">
        <v>2</v>
      </c>
      <c r="Q23" s="12">
        <v>5</v>
      </c>
      <c r="R23" s="12">
        <v>5</v>
      </c>
      <c r="S23" s="12">
        <v>2</v>
      </c>
      <c r="T23" s="12">
        <v>2</v>
      </c>
      <c r="U23" s="12">
        <v>2</v>
      </c>
      <c r="V23" s="12">
        <v>2</v>
      </c>
      <c r="W23" s="12">
        <v>2</v>
      </c>
      <c r="X23" s="12"/>
      <c r="Y23" s="12"/>
      <c r="Z23" s="12">
        <v>2</v>
      </c>
      <c r="AA23" s="12">
        <v>2</v>
      </c>
      <c r="AB23" s="12">
        <v>2</v>
      </c>
      <c r="AC23" s="12">
        <v>2</v>
      </c>
      <c r="AD23" s="12">
        <v>2</v>
      </c>
      <c r="AE23" s="12"/>
      <c r="AF23" s="12"/>
      <c r="AG23" s="12">
        <v>2</v>
      </c>
      <c r="AH23" s="12">
        <v>2</v>
      </c>
      <c r="AI23" s="12">
        <v>1</v>
      </c>
      <c r="AJ23" s="12"/>
      <c r="AK23" s="12"/>
      <c r="AL23" s="12"/>
      <c r="AM23" s="15">
        <f t="shared" si="1"/>
        <v>45</v>
      </c>
      <c r="AN23" s="16"/>
      <c r="AO23" s="16"/>
      <c r="AP23" s="78">
        <f t="shared" si="0"/>
        <v>5</v>
      </c>
      <c r="AQ23" s="5"/>
    </row>
    <row r="24" spans="1:43" ht="15" customHeight="1" x14ac:dyDescent="0.25">
      <c r="A24" s="18">
        <v>17</v>
      </c>
      <c r="B24" s="26"/>
      <c r="C24" s="19"/>
      <c r="D24" s="53">
        <v>304006</v>
      </c>
      <c r="E24" s="54">
        <v>11026134198</v>
      </c>
      <c r="F24" s="71" t="s">
        <v>57</v>
      </c>
      <c r="G24" s="20" t="s">
        <v>16</v>
      </c>
      <c r="H24" s="12"/>
      <c r="I24" s="12"/>
      <c r="J24" s="12"/>
      <c r="K24" s="12"/>
      <c r="L24" s="12">
        <v>2</v>
      </c>
      <c r="M24" s="12">
        <v>2</v>
      </c>
      <c r="N24" s="12">
        <v>2</v>
      </c>
      <c r="O24" s="12">
        <v>2</v>
      </c>
      <c r="P24" s="12">
        <v>2</v>
      </c>
      <c r="Q24" s="12">
        <v>5</v>
      </c>
      <c r="R24" s="12">
        <v>5</v>
      </c>
      <c r="S24" s="12">
        <v>2</v>
      </c>
      <c r="T24" s="12">
        <v>2</v>
      </c>
      <c r="U24" s="12">
        <v>2</v>
      </c>
      <c r="V24" s="12">
        <v>2</v>
      </c>
      <c r="W24" s="12">
        <v>2</v>
      </c>
      <c r="X24" s="12"/>
      <c r="Y24" s="12"/>
      <c r="Z24" s="12">
        <v>2</v>
      </c>
      <c r="AA24" s="12">
        <v>2</v>
      </c>
      <c r="AB24" s="12">
        <v>2</v>
      </c>
      <c r="AC24" s="12">
        <v>2</v>
      </c>
      <c r="AD24" s="12">
        <v>2</v>
      </c>
      <c r="AE24" s="12"/>
      <c r="AF24" s="12"/>
      <c r="AG24" s="12">
        <v>2</v>
      </c>
      <c r="AH24" s="12">
        <v>2</v>
      </c>
      <c r="AI24" s="12">
        <v>1</v>
      </c>
      <c r="AJ24" s="12"/>
      <c r="AK24" s="12"/>
      <c r="AL24" s="12"/>
      <c r="AM24" s="15">
        <f t="shared" si="1"/>
        <v>45</v>
      </c>
      <c r="AN24" s="16"/>
      <c r="AO24" s="16"/>
      <c r="AP24" s="78">
        <f t="shared" si="0"/>
        <v>5</v>
      </c>
      <c r="AQ24" s="5"/>
    </row>
    <row r="25" spans="1:43" x14ac:dyDescent="0.25">
      <c r="A25" s="18">
        <v>18</v>
      </c>
      <c r="B25" s="26"/>
      <c r="C25" s="19"/>
      <c r="D25" s="53">
        <v>303988</v>
      </c>
      <c r="E25" s="54">
        <v>11224059576</v>
      </c>
      <c r="F25" s="21" t="s">
        <v>60</v>
      </c>
      <c r="G25" s="20" t="s">
        <v>16</v>
      </c>
      <c r="H25" s="12"/>
      <c r="I25" s="12"/>
      <c r="J25" s="12"/>
      <c r="K25" s="12"/>
      <c r="L25" s="12">
        <v>2</v>
      </c>
      <c r="M25" s="12">
        <v>2</v>
      </c>
      <c r="N25" s="12">
        <v>2</v>
      </c>
      <c r="O25" s="12">
        <v>2</v>
      </c>
      <c r="P25" s="12">
        <v>2</v>
      </c>
      <c r="Q25" s="12">
        <v>5</v>
      </c>
      <c r="R25" s="12">
        <v>5</v>
      </c>
      <c r="S25" s="12">
        <v>2</v>
      </c>
      <c r="T25" s="12">
        <v>2</v>
      </c>
      <c r="U25" s="12">
        <v>2</v>
      </c>
      <c r="V25" s="12">
        <v>2</v>
      </c>
      <c r="W25" s="12">
        <v>2</v>
      </c>
      <c r="X25" s="12"/>
      <c r="Y25" s="12"/>
      <c r="Z25" s="12">
        <v>2</v>
      </c>
      <c r="AA25" s="12">
        <v>2</v>
      </c>
      <c r="AB25" s="12">
        <v>2</v>
      </c>
      <c r="AC25" s="12">
        <v>2</v>
      </c>
      <c r="AD25" s="12">
        <v>2</v>
      </c>
      <c r="AE25" s="12"/>
      <c r="AF25" s="12"/>
      <c r="AG25" s="12">
        <v>2</v>
      </c>
      <c r="AH25" s="12">
        <v>2</v>
      </c>
      <c r="AI25" s="12">
        <v>1</v>
      </c>
      <c r="AJ25" s="12"/>
      <c r="AK25" s="12"/>
      <c r="AL25" s="12"/>
      <c r="AM25" s="15">
        <f t="shared" si="1"/>
        <v>45</v>
      </c>
      <c r="AN25" s="16"/>
      <c r="AO25" s="16"/>
      <c r="AP25" s="78">
        <f t="shared" si="0"/>
        <v>5</v>
      </c>
      <c r="AQ25" s="5"/>
    </row>
    <row r="26" spans="1:43" x14ac:dyDescent="0.25">
      <c r="A26" s="18">
        <v>19</v>
      </c>
      <c r="B26" s="26"/>
      <c r="C26" s="19"/>
      <c r="D26" s="53">
        <v>221713</v>
      </c>
      <c r="E26" s="54">
        <v>20510328180</v>
      </c>
      <c r="F26" s="21" t="s">
        <v>61</v>
      </c>
      <c r="G26" s="20" t="s">
        <v>16</v>
      </c>
      <c r="H26" s="12"/>
      <c r="I26" s="12"/>
      <c r="J26" s="12"/>
      <c r="K26" s="12"/>
      <c r="L26" s="12">
        <v>2</v>
      </c>
      <c r="M26" s="12">
        <v>2</v>
      </c>
      <c r="N26" s="12">
        <v>2</v>
      </c>
      <c r="O26" s="12">
        <v>2</v>
      </c>
      <c r="P26" s="12">
        <v>2</v>
      </c>
      <c r="Q26" s="12">
        <v>5</v>
      </c>
      <c r="R26" s="12">
        <v>5</v>
      </c>
      <c r="S26" s="12">
        <v>2</v>
      </c>
      <c r="T26" s="12">
        <v>2</v>
      </c>
      <c r="U26" s="12">
        <v>2</v>
      </c>
      <c r="V26" s="12">
        <v>2</v>
      </c>
      <c r="W26" s="12">
        <v>2</v>
      </c>
      <c r="X26" s="12"/>
      <c r="Y26" s="12"/>
      <c r="Z26" s="12">
        <v>2</v>
      </c>
      <c r="AA26" s="12">
        <v>2</v>
      </c>
      <c r="AB26" s="12">
        <v>2</v>
      </c>
      <c r="AC26" s="12">
        <v>2</v>
      </c>
      <c r="AD26" s="12">
        <v>2</v>
      </c>
      <c r="AE26" s="12"/>
      <c r="AF26" s="12"/>
      <c r="AG26" s="12">
        <v>2</v>
      </c>
      <c r="AH26" s="12">
        <v>2</v>
      </c>
      <c r="AI26" s="12"/>
      <c r="AJ26" s="12"/>
      <c r="AK26" s="12"/>
      <c r="AL26" s="12"/>
      <c r="AM26" s="15">
        <f t="shared" si="1"/>
        <v>44</v>
      </c>
      <c r="AN26" s="16"/>
      <c r="AO26" s="16"/>
      <c r="AP26" s="78">
        <f t="shared" si="0"/>
        <v>6</v>
      </c>
      <c r="AQ26" s="5"/>
    </row>
    <row r="27" spans="1:43" x14ac:dyDescent="0.25">
      <c r="A27" s="18">
        <v>20</v>
      </c>
      <c r="B27" s="26"/>
      <c r="C27" s="19"/>
      <c r="D27" s="53">
        <v>304692</v>
      </c>
      <c r="E27" s="54">
        <v>40012025004</v>
      </c>
      <c r="F27" s="21" t="s">
        <v>62</v>
      </c>
      <c r="G27" s="20" t="s">
        <v>16</v>
      </c>
      <c r="H27" s="12"/>
      <c r="I27" s="12"/>
      <c r="J27" s="12"/>
      <c r="K27" s="12"/>
      <c r="L27" s="12">
        <v>2</v>
      </c>
      <c r="M27" s="12">
        <v>2</v>
      </c>
      <c r="N27" s="12">
        <v>2</v>
      </c>
      <c r="O27" s="12">
        <v>2</v>
      </c>
      <c r="P27" s="12">
        <v>2</v>
      </c>
      <c r="Q27" s="12">
        <v>5</v>
      </c>
      <c r="R27" s="12">
        <v>5</v>
      </c>
      <c r="S27" s="12">
        <v>2</v>
      </c>
      <c r="T27" s="12">
        <v>2</v>
      </c>
      <c r="U27" s="12">
        <v>2</v>
      </c>
      <c r="V27" s="12">
        <v>2</v>
      </c>
      <c r="W27" s="12">
        <v>2</v>
      </c>
      <c r="X27" s="12"/>
      <c r="Y27" s="12"/>
      <c r="Z27" s="12">
        <v>2</v>
      </c>
      <c r="AA27" s="12">
        <v>2</v>
      </c>
      <c r="AB27" s="12">
        <v>2</v>
      </c>
      <c r="AC27" s="12">
        <v>2</v>
      </c>
      <c r="AD27" s="12">
        <v>2</v>
      </c>
      <c r="AE27" s="12"/>
      <c r="AF27" s="12"/>
      <c r="AG27" s="12">
        <v>2</v>
      </c>
      <c r="AH27" s="12">
        <v>2</v>
      </c>
      <c r="AI27" s="12">
        <v>1</v>
      </c>
      <c r="AJ27" s="12"/>
      <c r="AK27" s="12"/>
      <c r="AL27" s="12"/>
      <c r="AM27" s="15">
        <f t="shared" si="1"/>
        <v>45</v>
      </c>
      <c r="AN27" s="16"/>
      <c r="AO27" s="16"/>
      <c r="AP27" s="78">
        <f t="shared" si="0"/>
        <v>5</v>
      </c>
      <c r="AQ27" s="5"/>
    </row>
    <row r="28" spans="1:43" x14ac:dyDescent="0.25">
      <c r="A28" s="18">
        <v>21</v>
      </c>
      <c r="B28" s="26"/>
      <c r="C28" s="19"/>
      <c r="D28" s="74">
        <v>188116</v>
      </c>
      <c r="E28" s="75">
        <v>15823126110</v>
      </c>
      <c r="F28" s="21" t="s">
        <v>63</v>
      </c>
      <c r="G28" s="20" t="s">
        <v>16</v>
      </c>
      <c r="H28" s="12"/>
      <c r="I28" s="12"/>
      <c r="J28" s="12"/>
      <c r="K28" s="12"/>
      <c r="L28" s="12">
        <v>2</v>
      </c>
      <c r="M28" s="12">
        <v>2</v>
      </c>
      <c r="N28" s="12">
        <v>2</v>
      </c>
      <c r="O28" s="12">
        <v>2</v>
      </c>
      <c r="P28" s="12">
        <v>2</v>
      </c>
      <c r="Q28" s="12">
        <v>5</v>
      </c>
      <c r="R28" s="12">
        <v>5</v>
      </c>
      <c r="S28" s="12">
        <v>2</v>
      </c>
      <c r="T28" s="12">
        <v>2</v>
      </c>
      <c r="U28" s="12">
        <v>2</v>
      </c>
      <c r="V28" s="12">
        <v>2</v>
      </c>
      <c r="W28" s="12">
        <v>2</v>
      </c>
      <c r="X28" s="12"/>
      <c r="Y28" s="12"/>
      <c r="Z28" s="12">
        <v>2</v>
      </c>
      <c r="AA28" s="12">
        <v>2</v>
      </c>
      <c r="AB28" s="12">
        <v>2</v>
      </c>
      <c r="AC28" s="12">
        <v>2</v>
      </c>
      <c r="AD28" s="12">
        <v>2</v>
      </c>
      <c r="AE28" s="12"/>
      <c r="AF28" s="12"/>
      <c r="AG28" s="12">
        <v>2</v>
      </c>
      <c r="AH28" s="12">
        <v>2</v>
      </c>
      <c r="AI28" s="12">
        <v>1</v>
      </c>
      <c r="AJ28" s="12"/>
      <c r="AK28" s="12"/>
      <c r="AL28" s="12"/>
      <c r="AM28" s="15">
        <f t="shared" si="1"/>
        <v>45</v>
      </c>
      <c r="AN28" s="16"/>
      <c r="AO28" s="16"/>
      <c r="AP28" s="78">
        <f t="shared" si="0"/>
        <v>5</v>
      </c>
      <c r="AQ28" s="5"/>
    </row>
    <row r="29" spans="1:43" x14ac:dyDescent="0.25">
      <c r="A29" s="18">
        <v>22</v>
      </c>
      <c r="B29" s="26"/>
      <c r="C29" s="19"/>
      <c r="D29" s="74">
        <v>304709</v>
      </c>
      <c r="E29" s="75">
        <v>28136517698</v>
      </c>
      <c r="F29" s="21" t="s">
        <v>64</v>
      </c>
      <c r="G29" s="20" t="s">
        <v>16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5">
        <f t="shared" si="1"/>
        <v>0</v>
      </c>
      <c r="AN29" s="16"/>
      <c r="AO29" s="16"/>
      <c r="AP29" s="78">
        <f t="shared" si="0"/>
        <v>50</v>
      </c>
      <c r="AQ29" s="5"/>
    </row>
    <row r="30" spans="1:43" x14ac:dyDescent="0.25">
      <c r="A30" s="18">
        <v>23</v>
      </c>
      <c r="B30" s="26"/>
      <c r="C30" s="19"/>
      <c r="D30" s="75">
        <v>48039</v>
      </c>
      <c r="E30" s="75">
        <v>22214302220</v>
      </c>
      <c r="F30" s="21" t="s">
        <v>66</v>
      </c>
      <c r="G30" s="20" t="s">
        <v>16</v>
      </c>
      <c r="H30" s="12"/>
      <c r="I30" s="12"/>
      <c r="J30" s="12"/>
      <c r="K30" s="12"/>
      <c r="L30" s="12"/>
      <c r="M30" s="12"/>
      <c r="N30" s="12"/>
      <c r="O30" s="12"/>
      <c r="P30" s="12"/>
      <c r="Q30" s="12">
        <v>5</v>
      </c>
      <c r="R30" s="12">
        <v>5</v>
      </c>
      <c r="S30" s="12">
        <v>2</v>
      </c>
      <c r="T30" s="12">
        <v>2</v>
      </c>
      <c r="U30" s="12">
        <v>2</v>
      </c>
      <c r="V30" s="12">
        <v>2</v>
      </c>
      <c r="W30" s="12">
        <v>2</v>
      </c>
      <c r="X30" s="12">
        <v>5</v>
      </c>
      <c r="Y30" s="12"/>
      <c r="Z30" s="12">
        <v>2</v>
      </c>
      <c r="AA30" s="12">
        <v>2</v>
      </c>
      <c r="AB30" s="12">
        <v>2</v>
      </c>
      <c r="AC30" s="12">
        <v>2</v>
      </c>
      <c r="AD30" s="12">
        <v>2</v>
      </c>
      <c r="AE30" s="12"/>
      <c r="AF30" s="12"/>
      <c r="AG30" s="12">
        <v>2</v>
      </c>
      <c r="AH30" s="12">
        <v>2</v>
      </c>
      <c r="AI30" s="12">
        <v>2</v>
      </c>
      <c r="AJ30" s="12">
        <v>2</v>
      </c>
      <c r="AK30" s="12">
        <v>2</v>
      </c>
      <c r="AL30" s="12"/>
      <c r="AM30" s="15">
        <f t="shared" si="1"/>
        <v>45</v>
      </c>
      <c r="AN30" s="16"/>
      <c r="AO30" s="16"/>
      <c r="AP30" s="78">
        <f t="shared" si="0"/>
        <v>5</v>
      </c>
      <c r="AQ30" s="5"/>
    </row>
    <row r="31" spans="1:43" x14ac:dyDescent="0.25">
      <c r="A31" s="18">
        <v>24</v>
      </c>
      <c r="B31" s="26"/>
      <c r="C31" s="19"/>
      <c r="D31" s="74">
        <v>181079</v>
      </c>
      <c r="E31" s="75">
        <v>17890869334</v>
      </c>
      <c r="F31" s="21" t="s">
        <v>67</v>
      </c>
      <c r="G31" s="20" t="s">
        <v>16</v>
      </c>
      <c r="H31" s="12"/>
      <c r="I31" s="12"/>
      <c r="J31" s="12"/>
      <c r="K31" s="12"/>
      <c r="L31" s="12">
        <v>2</v>
      </c>
      <c r="M31" s="12">
        <v>2</v>
      </c>
      <c r="N31" s="12">
        <v>2</v>
      </c>
      <c r="O31" s="12">
        <v>2</v>
      </c>
      <c r="P31" s="12">
        <v>2</v>
      </c>
      <c r="Q31" s="12">
        <v>5</v>
      </c>
      <c r="R31" s="12">
        <v>5</v>
      </c>
      <c r="S31" s="12">
        <v>2</v>
      </c>
      <c r="T31" s="12">
        <v>2</v>
      </c>
      <c r="U31" s="12">
        <v>2</v>
      </c>
      <c r="V31" s="12">
        <v>2</v>
      </c>
      <c r="W31" s="12">
        <v>2</v>
      </c>
      <c r="X31" s="12"/>
      <c r="Y31" s="12"/>
      <c r="Z31" s="12">
        <v>2</v>
      </c>
      <c r="AA31" s="12">
        <v>2</v>
      </c>
      <c r="AB31" s="12">
        <v>2</v>
      </c>
      <c r="AC31" s="12">
        <v>2</v>
      </c>
      <c r="AD31" s="12">
        <v>2</v>
      </c>
      <c r="AE31" s="12"/>
      <c r="AF31" s="12"/>
      <c r="AG31" s="12">
        <v>2</v>
      </c>
      <c r="AH31" s="12">
        <v>2</v>
      </c>
      <c r="AI31" s="12">
        <v>1</v>
      </c>
      <c r="AJ31" s="12"/>
      <c r="AK31" s="12"/>
      <c r="AL31" s="12"/>
      <c r="AM31" s="15">
        <f t="shared" si="1"/>
        <v>45</v>
      </c>
      <c r="AN31" s="16"/>
      <c r="AO31" s="16"/>
      <c r="AP31" s="78">
        <f t="shared" si="0"/>
        <v>5</v>
      </c>
      <c r="AQ31" s="5"/>
    </row>
    <row r="32" spans="1:43" x14ac:dyDescent="0.25">
      <c r="A32" s="18">
        <v>25</v>
      </c>
      <c r="B32" s="26"/>
      <c r="C32" s="19"/>
      <c r="D32" s="75">
        <v>287462</v>
      </c>
      <c r="E32" s="75">
        <v>32113696764</v>
      </c>
      <c r="F32" s="21" t="s">
        <v>68</v>
      </c>
      <c r="G32" s="20" t="s">
        <v>16</v>
      </c>
      <c r="H32" s="12"/>
      <c r="I32" s="12"/>
      <c r="J32" s="12"/>
      <c r="K32" s="12"/>
      <c r="L32" s="12">
        <v>2</v>
      </c>
      <c r="M32" s="12">
        <v>2</v>
      </c>
      <c r="N32" s="12">
        <v>2</v>
      </c>
      <c r="O32" s="12">
        <v>2</v>
      </c>
      <c r="P32" s="12">
        <v>2</v>
      </c>
      <c r="Q32" s="12">
        <v>5</v>
      </c>
      <c r="R32" s="12">
        <v>5</v>
      </c>
      <c r="S32" s="12">
        <v>2</v>
      </c>
      <c r="T32" s="12">
        <v>2</v>
      </c>
      <c r="U32" s="12">
        <v>1</v>
      </c>
      <c r="V32" s="12"/>
      <c r="W32" s="12"/>
      <c r="X32" s="12"/>
      <c r="Y32" s="12"/>
      <c r="Z32" s="12">
        <v>2</v>
      </c>
      <c r="AA32" s="12">
        <v>2</v>
      </c>
      <c r="AB32" s="12">
        <v>2</v>
      </c>
      <c r="AC32" s="12">
        <v>2</v>
      </c>
      <c r="AD32" s="12">
        <v>2</v>
      </c>
      <c r="AE32" s="12"/>
      <c r="AF32" s="12"/>
      <c r="AG32" s="12">
        <v>2</v>
      </c>
      <c r="AH32" s="12">
        <v>2</v>
      </c>
      <c r="AI32" s="12">
        <v>2</v>
      </c>
      <c r="AJ32" s="12">
        <v>2</v>
      </c>
      <c r="AK32" s="12">
        <v>2</v>
      </c>
      <c r="AL32" s="12"/>
      <c r="AM32" s="15">
        <f t="shared" si="1"/>
        <v>45</v>
      </c>
      <c r="AN32" s="16"/>
      <c r="AO32" s="16"/>
      <c r="AP32" s="78">
        <f t="shared" si="0"/>
        <v>5</v>
      </c>
      <c r="AQ32" s="5"/>
    </row>
    <row r="33" spans="1:43" x14ac:dyDescent="0.25">
      <c r="A33" s="18">
        <v>26</v>
      </c>
      <c r="B33" s="26"/>
      <c r="C33" s="19"/>
      <c r="D33" s="75">
        <v>287462</v>
      </c>
      <c r="E33" s="75">
        <v>32113696764</v>
      </c>
      <c r="F33" s="21" t="s">
        <v>69</v>
      </c>
      <c r="G33" s="20" t="s">
        <v>16</v>
      </c>
      <c r="H33" s="12"/>
      <c r="I33" s="12"/>
      <c r="J33" s="12"/>
      <c r="K33" s="12"/>
      <c r="L33" s="12">
        <v>2</v>
      </c>
      <c r="M33" s="12">
        <v>2</v>
      </c>
      <c r="N33" s="12">
        <v>2</v>
      </c>
      <c r="O33" s="12">
        <v>2</v>
      </c>
      <c r="P33" s="12">
        <v>2</v>
      </c>
      <c r="Q33" s="12">
        <v>5</v>
      </c>
      <c r="R33" s="12">
        <v>5</v>
      </c>
      <c r="S33" s="12">
        <v>2</v>
      </c>
      <c r="T33" s="12">
        <v>2</v>
      </c>
      <c r="U33" s="12">
        <v>2</v>
      </c>
      <c r="V33" s="12">
        <v>2</v>
      </c>
      <c r="W33" s="12">
        <v>2</v>
      </c>
      <c r="X33" s="12"/>
      <c r="Y33" s="12"/>
      <c r="Z33" s="12">
        <v>2</v>
      </c>
      <c r="AA33" s="12">
        <v>2</v>
      </c>
      <c r="AB33" s="12">
        <v>2</v>
      </c>
      <c r="AC33" s="12">
        <v>2</v>
      </c>
      <c r="AD33" s="12">
        <v>2</v>
      </c>
      <c r="AE33" s="12"/>
      <c r="AF33" s="12"/>
      <c r="AG33" s="12">
        <v>2</v>
      </c>
      <c r="AH33" s="12">
        <v>2</v>
      </c>
      <c r="AI33" s="12">
        <v>1</v>
      </c>
      <c r="AJ33" s="12"/>
      <c r="AK33" s="12"/>
      <c r="AL33" s="12"/>
      <c r="AM33" s="15">
        <f t="shared" si="1"/>
        <v>45</v>
      </c>
      <c r="AN33" s="16"/>
      <c r="AO33" s="16"/>
      <c r="AP33" s="78">
        <f t="shared" si="0"/>
        <v>5</v>
      </c>
      <c r="AQ33" s="5"/>
    </row>
    <row r="34" spans="1:43" x14ac:dyDescent="0.25">
      <c r="A34" s="18">
        <v>27</v>
      </c>
      <c r="B34" s="26"/>
      <c r="C34" s="19"/>
      <c r="D34" s="74">
        <v>47414</v>
      </c>
      <c r="E34" s="76">
        <v>29131003278</v>
      </c>
      <c r="F34" s="21" t="s">
        <v>70</v>
      </c>
      <c r="G34" s="20" t="s">
        <v>16</v>
      </c>
      <c r="H34" s="12"/>
      <c r="I34" s="12"/>
      <c r="J34" s="12"/>
      <c r="K34" s="12"/>
      <c r="L34" s="12">
        <v>2</v>
      </c>
      <c r="M34" s="12">
        <v>2</v>
      </c>
      <c r="N34" s="12">
        <v>2</v>
      </c>
      <c r="O34" s="12">
        <v>2</v>
      </c>
      <c r="P34" s="12">
        <v>2</v>
      </c>
      <c r="Q34" s="12">
        <v>5</v>
      </c>
      <c r="R34" s="12">
        <v>5</v>
      </c>
      <c r="S34" s="12">
        <v>2</v>
      </c>
      <c r="T34" s="12">
        <v>2</v>
      </c>
      <c r="U34" s="12">
        <v>2</v>
      </c>
      <c r="V34" s="12">
        <v>2</v>
      </c>
      <c r="W34" s="12">
        <v>2</v>
      </c>
      <c r="X34" s="12"/>
      <c r="Y34" s="12"/>
      <c r="Z34" s="12">
        <v>2</v>
      </c>
      <c r="AA34" s="12">
        <v>2</v>
      </c>
      <c r="AB34" s="12">
        <v>2</v>
      </c>
      <c r="AC34" s="12">
        <v>2</v>
      </c>
      <c r="AD34" s="12">
        <v>2</v>
      </c>
      <c r="AE34" s="12"/>
      <c r="AF34" s="12"/>
      <c r="AG34" s="12">
        <v>2</v>
      </c>
      <c r="AH34" s="12">
        <v>2</v>
      </c>
      <c r="AI34" s="12">
        <v>1</v>
      </c>
      <c r="AJ34" s="12"/>
      <c r="AK34" s="12"/>
      <c r="AL34" s="12"/>
      <c r="AM34" s="15">
        <f t="shared" si="1"/>
        <v>45</v>
      </c>
      <c r="AN34" s="16"/>
      <c r="AO34" s="16"/>
      <c r="AP34" s="78">
        <f t="shared" si="0"/>
        <v>5</v>
      </c>
      <c r="AQ34" s="5"/>
    </row>
    <row r="35" spans="1:43" x14ac:dyDescent="0.25">
      <c r="A35" s="18">
        <v>28</v>
      </c>
      <c r="B35" s="26"/>
      <c r="C35" s="19"/>
      <c r="D35" s="54">
        <v>287487</v>
      </c>
      <c r="E35" s="54">
        <v>38095704534</v>
      </c>
      <c r="F35" s="21" t="s">
        <v>72</v>
      </c>
      <c r="G35" s="20" t="s">
        <v>16</v>
      </c>
      <c r="H35" s="12"/>
      <c r="I35" s="12"/>
      <c r="J35" s="12"/>
      <c r="K35" s="12"/>
      <c r="L35" s="12">
        <v>2</v>
      </c>
      <c r="M35" s="12">
        <v>2</v>
      </c>
      <c r="N35" s="12">
        <v>2</v>
      </c>
      <c r="O35" s="12">
        <v>2</v>
      </c>
      <c r="P35" s="12">
        <v>2</v>
      </c>
      <c r="Q35" s="12">
        <v>5</v>
      </c>
      <c r="R35" s="12">
        <v>5</v>
      </c>
      <c r="S35" s="12">
        <v>2</v>
      </c>
      <c r="T35" s="12">
        <v>2</v>
      </c>
      <c r="U35" s="12">
        <v>2</v>
      </c>
      <c r="V35" s="12">
        <v>2</v>
      </c>
      <c r="W35" s="12">
        <v>2</v>
      </c>
      <c r="X35" s="12"/>
      <c r="Y35" s="12"/>
      <c r="Z35" s="12"/>
      <c r="AA35" s="12"/>
      <c r="AB35" s="12">
        <v>1</v>
      </c>
      <c r="AC35" s="12">
        <v>2</v>
      </c>
      <c r="AD35" s="12">
        <v>2</v>
      </c>
      <c r="AE35" s="12"/>
      <c r="AF35" s="12"/>
      <c r="AG35" s="12">
        <v>2</v>
      </c>
      <c r="AH35" s="12">
        <v>2</v>
      </c>
      <c r="AI35" s="12">
        <v>2</v>
      </c>
      <c r="AJ35" s="12">
        <v>2</v>
      </c>
      <c r="AK35" s="12">
        <v>2</v>
      </c>
      <c r="AL35" s="12"/>
      <c r="AM35" s="15">
        <f t="shared" si="1"/>
        <v>45</v>
      </c>
      <c r="AN35" s="16"/>
      <c r="AO35" s="16"/>
      <c r="AP35" s="78">
        <f t="shared" si="0"/>
        <v>5</v>
      </c>
      <c r="AQ35" s="5"/>
    </row>
    <row r="36" spans="1:43" x14ac:dyDescent="0.25">
      <c r="A36" s="18">
        <v>29</v>
      </c>
      <c r="B36" s="26"/>
      <c r="C36" s="19"/>
      <c r="D36" s="54">
        <v>168950</v>
      </c>
      <c r="E36" s="54">
        <v>10672102032</v>
      </c>
      <c r="F36" s="21" t="s">
        <v>71</v>
      </c>
      <c r="G36" s="20" t="s">
        <v>16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5">
        <f t="shared" si="1"/>
        <v>0</v>
      </c>
      <c r="AN36" s="16"/>
      <c r="AO36" s="16"/>
      <c r="AP36" s="78"/>
      <c r="AQ36" s="5"/>
    </row>
    <row r="37" spans="1:43" x14ac:dyDescent="0.25">
      <c r="A37" s="18">
        <v>30</v>
      </c>
      <c r="B37" s="26"/>
      <c r="C37" s="19"/>
      <c r="D37" s="54">
        <v>48249</v>
      </c>
      <c r="E37" s="54">
        <v>27752424946</v>
      </c>
      <c r="F37" s="21" t="s">
        <v>58</v>
      </c>
      <c r="G37" s="20" t="s">
        <v>31</v>
      </c>
      <c r="H37" s="12"/>
      <c r="I37" s="12"/>
      <c r="J37" s="12"/>
      <c r="K37" s="12">
        <v>3</v>
      </c>
      <c r="L37" s="12">
        <v>2</v>
      </c>
      <c r="M37" s="12">
        <v>2</v>
      </c>
      <c r="N37" s="12">
        <v>2</v>
      </c>
      <c r="O37" s="12">
        <v>2</v>
      </c>
      <c r="P37" s="12">
        <v>2</v>
      </c>
      <c r="Q37" s="12">
        <v>5</v>
      </c>
      <c r="R37" s="12">
        <v>5</v>
      </c>
      <c r="S37" s="12">
        <v>2</v>
      </c>
      <c r="T37" s="12"/>
      <c r="U37" s="12"/>
      <c r="V37" s="12"/>
      <c r="W37" s="12"/>
      <c r="X37" s="12"/>
      <c r="Y37" s="12"/>
      <c r="Z37" s="12">
        <v>2</v>
      </c>
      <c r="AA37" s="12">
        <v>2</v>
      </c>
      <c r="AB37" s="12">
        <v>2</v>
      </c>
      <c r="AC37" s="12">
        <v>2</v>
      </c>
      <c r="AD37" s="12">
        <v>2</v>
      </c>
      <c r="AE37" s="12"/>
      <c r="AF37" s="12"/>
      <c r="AG37" s="12">
        <v>2</v>
      </c>
      <c r="AH37" s="12">
        <v>2</v>
      </c>
      <c r="AI37" s="12">
        <v>2</v>
      </c>
      <c r="AJ37" s="12">
        <v>2</v>
      </c>
      <c r="AK37" s="12">
        <v>2</v>
      </c>
      <c r="AL37" s="12"/>
      <c r="AM37" s="15">
        <f t="shared" si="1"/>
        <v>45</v>
      </c>
      <c r="AN37" s="16"/>
      <c r="AO37" s="16"/>
      <c r="AP37" s="78">
        <f t="shared" si="0"/>
        <v>5</v>
      </c>
      <c r="AQ37" s="5"/>
    </row>
    <row r="38" spans="1:43" x14ac:dyDescent="0.25">
      <c r="A38" s="18">
        <v>31</v>
      </c>
      <c r="B38" s="26"/>
      <c r="C38" s="19"/>
      <c r="D38" s="54">
        <v>208272</v>
      </c>
      <c r="E38" s="54">
        <v>59095481034</v>
      </c>
      <c r="F38" s="21" t="s">
        <v>59</v>
      </c>
      <c r="G38" s="20" t="s">
        <v>31</v>
      </c>
      <c r="H38" s="12"/>
      <c r="I38" s="12"/>
      <c r="J38" s="12"/>
      <c r="K38" s="12"/>
      <c r="L38" s="12">
        <v>2</v>
      </c>
      <c r="M38" s="12">
        <v>2</v>
      </c>
      <c r="N38" s="12">
        <v>2</v>
      </c>
      <c r="O38" s="12">
        <v>2</v>
      </c>
      <c r="P38" s="12">
        <v>2</v>
      </c>
      <c r="Q38" s="12">
        <v>5</v>
      </c>
      <c r="R38" s="12">
        <v>5</v>
      </c>
      <c r="S38" s="12">
        <v>2</v>
      </c>
      <c r="T38" s="12">
        <v>2</v>
      </c>
      <c r="U38" s="12">
        <v>2</v>
      </c>
      <c r="V38" s="12">
        <v>2</v>
      </c>
      <c r="W38" s="12">
        <v>2</v>
      </c>
      <c r="X38" s="12">
        <v>5</v>
      </c>
      <c r="Y38" s="12"/>
      <c r="Z38" s="12">
        <v>2</v>
      </c>
      <c r="AA38" s="12">
        <v>2</v>
      </c>
      <c r="AB38" s="12">
        <v>2</v>
      </c>
      <c r="AC38" s="12">
        <v>2</v>
      </c>
      <c r="AD38" s="12">
        <v>2</v>
      </c>
      <c r="AE38" s="12"/>
      <c r="AF38" s="12"/>
      <c r="AG38" s="12"/>
      <c r="AH38" s="12"/>
      <c r="AI38" s="12"/>
      <c r="AJ38" s="12"/>
      <c r="AK38" s="12"/>
      <c r="AL38" s="12"/>
      <c r="AM38" s="15">
        <f t="shared" si="1"/>
        <v>45</v>
      </c>
      <c r="AN38" s="16"/>
      <c r="AO38" s="16"/>
      <c r="AP38" s="78">
        <f t="shared" si="0"/>
        <v>5</v>
      </c>
      <c r="AQ38" s="5"/>
    </row>
    <row r="39" spans="1:43" x14ac:dyDescent="0.25">
      <c r="A39" s="18">
        <v>32</v>
      </c>
      <c r="B39" s="26"/>
      <c r="C39" s="19"/>
      <c r="D39" s="54">
        <v>271395</v>
      </c>
      <c r="E39" s="54">
        <v>31919154508</v>
      </c>
      <c r="F39" s="21" t="s">
        <v>65</v>
      </c>
      <c r="G39" s="20" t="s">
        <v>31</v>
      </c>
      <c r="H39" s="12"/>
      <c r="I39" s="12"/>
      <c r="J39" s="12"/>
      <c r="K39" s="12"/>
      <c r="L39" s="12">
        <v>2</v>
      </c>
      <c r="M39" s="12">
        <v>2</v>
      </c>
      <c r="N39" s="12">
        <v>2</v>
      </c>
      <c r="O39" s="12">
        <v>2</v>
      </c>
      <c r="P39" s="12">
        <v>2</v>
      </c>
      <c r="Q39" s="12">
        <v>5</v>
      </c>
      <c r="R39" s="12">
        <v>5</v>
      </c>
      <c r="S39" s="12">
        <v>2</v>
      </c>
      <c r="T39" s="12">
        <v>2</v>
      </c>
      <c r="U39" s="12">
        <v>2</v>
      </c>
      <c r="V39" s="12">
        <v>2</v>
      </c>
      <c r="W39" s="12">
        <v>2</v>
      </c>
      <c r="X39" s="12"/>
      <c r="Y39" s="12"/>
      <c r="Z39" s="12">
        <v>2</v>
      </c>
      <c r="AA39" s="12">
        <v>2</v>
      </c>
      <c r="AB39" s="12">
        <v>2</v>
      </c>
      <c r="AC39" s="12">
        <v>2</v>
      </c>
      <c r="AD39" s="12">
        <v>2</v>
      </c>
      <c r="AE39" s="12"/>
      <c r="AF39" s="12"/>
      <c r="AG39" s="12">
        <v>2</v>
      </c>
      <c r="AH39" s="12">
        <v>2</v>
      </c>
      <c r="AI39" s="12">
        <v>1</v>
      </c>
      <c r="AJ39" s="12"/>
      <c r="AK39" s="12"/>
      <c r="AL39" s="12"/>
      <c r="AM39" s="15">
        <f t="shared" si="1"/>
        <v>45</v>
      </c>
      <c r="AN39" s="16"/>
      <c r="AO39" s="16"/>
      <c r="AP39" s="78">
        <f t="shared" si="0"/>
        <v>5</v>
      </c>
      <c r="AQ39" s="5"/>
    </row>
    <row r="40" spans="1:43" x14ac:dyDescent="0.25">
      <c r="A40" s="18">
        <v>33</v>
      </c>
      <c r="B40" s="26"/>
      <c r="C40" s="19"/>
      <c r="D40" s="54">
        <v>48181</v>
      </c>
      <c r="E40" s="54">
        <v>12427088608</v>
      </c>
      <c r="F40" s="54" t="s">
        <v>81</v>
      </c>
      <c r="G40" s="79" t="s">
        <v>16</v>
      </c>
      <c r="H40" s="12">
        <v>5</v>
      </c>
      <c r="I40" s="12">
        <v>2</v>
      </c>
      <c r="J40" s="12"/>
      <c r="K40" s="12"/>
      <c r="L40" s="12"/>
      <c r="M40" s="12"/>
      <c r="N40" s="12"/>
      <c r="O40" s="12"/>
      <c r="P40" s="12"/>
      <c r="Q40" s="12">
        <v>5</v>
      </c>
      <c r="R40" s="12">
        <v>5</v>
      </c>
      <c r="S40" s="12">
        <v>2</v>
      </c>
      <c r="T40" s="12">
        <v>2</v>
      </c>
      <c r="U40" s="12">
        <v>2</v>
      </c>
      <c r="V40" s="12">
        <v>2</v>
      </c>
      <c r="W40" s="12">
        <v>2</v>
      </c>
      <c r="X40" s="12"/>
      <c r="Y40" s="12"/>
      <c r="Z40" s="12"/>
      <c r="AA40" s="12"/>
      <c r="AB40" s="12"/>
      <c r="AC40" s="12"/>
      <c r="AD40" s="12"/>
      <c r="AE40" s="12">
        <v>5</v>
      </c>
      <c r="AF40" s="12">
        <v>5</v>
      </c>
      <c r="AG40" s="12">
        <v>2</v>
      </c>
      <c r="AH40" s="12">
        <v>2</v>
      </c>
      <c r="AI40" s="12">
        <v>2</v>
      </c>
      <c r="AJ40" s="12">
        <v>2</v>
      </c>
      <c r="AK40" s="12"/>
      <c r="AL40" s="12"/>
      <c r="AM40" s="15">
        <f t="shared" si="1"/>
        <v>45</v>
      </c>
      <c r="AN40" s="16"/>
      <c r="AO40" s="16"/>
      <c r="AP40" s="78"/>
      <c r="AQ40" s="5"/>
    </row>
    <row r="41" spans="1:43" x14ac:dyDescent="0.25">
      <c r="A41" s="18">
        <v>34</v>
      </c>
      <c r="B41" s="26"/>
      <c r="C41" s="19"/>
      <c r="D41" s="54">
        <v>125837</v>
      </c>
      <c r="E41" s="54">
        <v>23699201800</v>
      </c>
      <c r="F41" s="21" t="s">
        <v>82</v>
      </c>
      <c r="G41" s="79" t="s">
        <v>16</v>
      </c>
      <c r="H41" s="12"/>
      <c r="I41" s="12"/>
      <c r="J41" s="12">
        <v>5</v>
      </c>
      <c r="K41" s="12">
        <v>5</v>
      </c>
      <c r="L41" s="12">
        <v>2</v>
      </c>
      <c r="M41" s="12">
        <v>2</v>
      </c>
      <c r="N41" s="12">
        <v>2</v>
      </c>
      <c r="O41" s="12">
        <v>2</v>
      </c>
      <c r="P41" s="12">
        <v>2</v>
      </c>
      <c r="Q41" s="12"/>
      <c r="R41" s="12"/>
      <c r="S41" s="12"/>
      <c r="T41" s="12"/>
      <c r="U41" s="12"/>
      <c r="V41" s="12"/>
      <c r="W41" s="12"/>
      <c r="X41" s="12">
        <v>5</v>
      </c>
      <c r="Y41" s="12">
        <v>5</v>
      </c>
      <c r="Z41" s="12">
        <v>2</v>
      </c>
      <c r="AA41" s="12">
        <v>2</v>
      </c>
      <c r="AB41" s="12">
        <v>2</v>
      </c>
      <c r="AC41" s="12">
        <v>2</v>
      </c>
      <c r="AD41" s="12">
        <v>2</v>
      </c>
      <c r="AE41" s="12"/>
      <c r="AF41" s="12"/>
      <c r="AG41" s="12"/>
      <c r="AH41" s="12"/>
      <c r="AI41" s="12"/>
      <c r="AJ41" s="12"/>
      <c r="AK41" s="12"/>
      <c r="AL41" s="12">
        <v>5</v>
      </c>
      <c r="AM41" s="15">
        <f t="shared" si="1"/>
        <v>45</v>
      </c>
      <c r="AN41" s="16"/>
      <c r="AO41" s="16"/>
      <c r="AP41" s="78"/>
      <c r="AQ41" s="5"/>
    </row>
    <row r="42" spans="1:43" x14ac:dyDescent="0.25">
      <c r="A42" s="18">
        <v>35</v>
      </c>
      <c r="B42" s="26"/>
      <c r="C42" s="19"/>
      <c r="D42" s="75">
        <v>155043</v>
      </c>
      <c r="E42" s="54">
        <v>24637954178</v>
      </c>
      <c r="F42" s="21" t="s">
        <v>83</v>
      </c>
      <c r="G42" s="79" t="s">
        <v>16</v>
      </c>
      <c r="H42" s="12"/>
      <c r="I42" s="12"/>
      <c r="J42" s="12">
        <v>5</v>
      </c>
      <c r="K42" s="12">
        <v>5</v>
      </c>
      <c r="L42" s="12">
        <v>2</v>
      </c>
      <c r="M42" s="12">
        <v>2</v>
      </c>
      <c r="N42" s="12">
        <v>2</v>
      </c>
      <c r="O42" s="12">
        <v>2</v>
      </c>
      <c r="P42" s="12">
        <v>2</v>
      </c>
      <c r="Q42" s="12"/>
      <c r="R42" s="12"/>
      <c r="S42" s="12"/>
      <c r="T42" s="12"/>
      <c r="U42" s="12"/>
      <c r="V42" s="12"/>
      <c r="W42" s="12"/>
      <c r="X42" s="12">
        <v>5</v>
      </c>
      <c r="Y42" s="12">
        <v>5</v>
      </c>
      <c r="Z42" s="12">
        <v>2</v>
      </c>
      <c r="AA42" s="12">
        <v>2</v>
      </c>
      <c r="AB42" s="12">
        <v>2</v>
      </c>
      <c r="AC42" s="12">
        <v>2</v>
      </c>
      <c r="AD42" s="12">
        <v>2</v>
      </c>
      <c r="AE42" s="12"/>
      <c r="AF42" s="12"/>
      <c r="AG42" s="12"/>
      <c r="AH42" s="12"/>
      <c r="AI42" s="12"/>
      <c r="AJ42" s="12"/>
      <c r="AK42" s="12"/>
      <c r="AL42" s="12">
        <v>5</v>
      </c>
      <c r="AM42" s="15">
        <f t="shared" si="1"/>
        <v>45</v>
      </c>
      <c r="AN42" s="16"/>
      <c r="AO42" s="16"/>
      <c r="AP42" s="78"/>
      <c r="AQ42" s="5"/>
    </row>
    <row r="43" spans="1:43" x14ac:dyDescent="0.25">
      <c r="A43" s="18">
        <v>36</v>
      </c>
      <c r="B43" s="26"/>
      <c r="C43" s="19"/>
      <c r="D43" s="75">
        <v>116479</v>
      </c>
      <c r="E43" s="54">
        <v>60505022976</v>
      </c>
      <c r="F43" s="21" t="s">
        <v>84</v>
      </c>
      <c r="G43" s="79" t="s">
        <v>16</v>
      </c>
      <c r="H43" s="12">
        <v>5</v>
      </c>
      <c r="I43" s="12">
        <v>2</v>
      </c>
      <c r="J43" s="12"/>
      <c r="K43" s="12"/>
      <c r="L43" s="12"/>
      <c r="M43" s="12"/>
      <c r="N43" s="12"/>
      <c r="O43" s="12"/>
      <c r="P43" s="12"/>
      <c r="Q43" s="12">
        <v>5</v>
      </c>
      <c r="R43" s="12">
        <v>5</v>
      </c>
      <c r="S43" s="12">
        <v>2</v>
      </c>
      <c r="T43" s="12">
        <v>2</v>
      </c>
      <c r="U43" s="12">
        <v>2</v>
      </c>
      <c r="V43" s="12">
        <v>2</v>
      </c>
      <c r="W43" s="12">
        <v>2</v>
      </c>
      <c r="X43" s="12"/>
      <c r="Y43" s="12"/>
      <c r="Z43" s="12"/>
      <c r="AA43" s="12"/>
      <c r="AB43" s="12"/>
      <c r="AC43" s="12"/>
      <c r="AD43" s="12"/>
      <c r="AE43" s="12">
        <v>5</v>
      </c>
      <c r="AF43" s="12">
        <v>5</v>
      </c>
      <c r="AG43" s="12">
        <v>2</v>
      </c>
      <c r="AH43" s="12">
        <v>2</v>
      </c>
      <c r="AI43" s="12">
        <v>2</v>
      </c>
      <c r="AJ43" s="12">
        <v>2</v>
      </c>
      <c r="AK43" s="12"/>
      <c r="AL43" s="12"/>
      <c r="AM43" s="15">
        <f t="shared" si="1"/>
        <v>45</v>
      </c>
      <c r="AN43" s="16"/>
      <c r="AO43" s="16"/>
      <c r="AP43" s="78"/>
      <c r="AQ43" s="5"/>
    </row>
    <row r="44" spans="1:43" x14ac:dyDescent="0.25">
      <c r="A44" s="18">
        <v>37</v>
      </c>
      <c r="B44" s="26"/>
      <c r="C44" s="19"/>
      <c r="D44" s="75">
        <v>210222</v>
      </c>
      <c r="E44" s="54">
        <v>10429440486</v>
      </c>
      <c r="F44" s="21" t="s">
        <v>75</v>
      </c>
      <c r="G44" s="20" t="s">
        <v>29</v>
      </c>
      <c r="H44" s="12"/>
      <c r="I44" s="12"/>
      <c r="J44" s="12"/>
      <c r="K44" s="12"/>
      <c r="L44" s="12">
        <v>2</v>
      </c>
      <c r="M44" s="12">
        <v>2</v>
      </c>
      <c r="N44" s="12">
        <v>2</v>
      </c>
      <c r="O44" s="12">
        <v>2</v>
      </c>
      <c r="P44" s="12">
        <v>2</v>
      </c>
      <c r="Q44" s="12">
        <v>5</v>
      </c>
      <c r="R44" s="12">
        <v>5</v>
      </c>
      <c r="S44" s="12">
        <v>2</v>
      </c>
      <c r="T44" s="12">
        <v>2</v>
      </c>
      <c r="U44" s="12">
        <v>2</v>
      </c>
      <c r="V44" s="12">
        <v>2</v>
      </c>
      <c r="W44" s="12">
        <v>2</v>
      </c>
      <c r="X44" s="12"/>
      <c r="Y44" s="12"/>
      <c r="Z44" s="12">
        <v>2</v>
      </c>
      <c r="AA44" s="12">
        <v>2</v>
      </c>
      <c r="AB44" s="12">
        <v>2</v>
      </c>
      <c r="AC44" s="12">
        <v>2</v>
      </c>
      <c r="AD44" s="12">
        <v>2</v>
      </c>
      <c r="AE44" s="12"/>
      <c r="AF44" s="12"/>
      <c r="AG44" s="12">
        <v>2</v>
      </c>
      <c r="AH44" s="12">
        <v>2</v>
      </c>
      <c r="AI44" s="12">
        <v>1</v>
      </c>
      <c r="AJ44" s="12"/>
      <c r="AK44" s="12"/>
      <c r="AL44" s="12"/>
      <c r="AM44" s="15">
        <f t="shared" si="1"/>
        <v>45</v>
      </c>
      <c r="AN44" s="16"/>
      <c r="AO44" s="16"/>
      <c r="AP44" s="78">
        <f t="shared" si="0"/>
        <v>5</v>
      </c>
      <c r="AQ44" s="5"/>
    </row>
    <row r="45" spans="1:43" x14ac:dyDescent="0.25">
      <c r="A45" s="18">
        <v>38</v>
      </c>
      <c r="B45" s="26"/>
      <c r="C45" s="19"/>
      <c r="D45" s="80">
        <v>229947</v>
      </c>
      <c r="E45" s="27">
        <v>25460594678</v>
      </c>
      <c r="F45" s="21" t="s">
        <v>76</v>
      </c>
      <c r="G45" s="20" t="s">
        <v>29</v>
      </c>
      <c r="H45" s="12"/>
      <c r="I45" s="12"/>
      <c r="J45" s="12"/>
      <c r="K45" s="12"/>
      <c r="L45" s="12">
        <v>2</v>
      </c>
      <c r="M45" s="12">
        <v>2</v>
      </c>
      <c r="N45" s="12">
        <v>2</v>
      </c>
      <c r="O45" s="12">
        <v>2</v>
      </c>
      <c r="P45" s="12">
        <v>2</v>
      </c>
      <c r="Q45" s="12">
        <v>5</v>
      </c>
      <c r="R45" s="12">
        <v>5</v>
      </c>
      <c r="S45" s="12">
        <v>2</v>
      </c>
      <c r="T45" s="12">
        <v>2</v>
      </c>
      <c r="U45" s="12">
        <v>2</v>
      </c>
      <c r="V45" s="12">
        <v>2</v>
      </c>
      <c r="W45" s="12">
        <v>2</v>
      </c>
      <c r="X45" s="12"/>
      <c r="Y45" s="12"/>
      <c r="Z45" s="12">
        <v>2</v>
      </c>
      <c r="AA45" s="12">
        <v>2</v>
      </c>
      <c r="AB45" s="12">
        <v>2</v>
      </c>
      <c r="AC45" s="12">
        <v>2</v>
      </c>
      <c r="AD45" s="12">
        <v>2</v>
      </c>
      <c r="AE45" s="12"/>
      <c r="AF45" s="12"/>
      <c r="AG45" s="12">
        <v>2</v>
      </c>
      <c r="AH45" s="12">
        <v>2</v>
      </c>
      <c r="AI45" s="12">
        <v>1</v>
      </c>
      <c r="AJ45" s="12"/>
      <c r="AK45" s="12"/>
      <c r="AL45" s="12"/>
      <c r="AM45" s="15">
        <f t="shared" si="1"/>
        <v>45</v>
      </c>
      <c r="AN45" s="16"/>
      <c r="AO45" s="16"/>
      <c r="AP45" s="78">
        <f t="shared" si="0"/>
        <v>5</v>
      </c>
      <c r="AQ45" s="5"/>
    </row>
    <row r="46" spans="1:43" x14ac:dyDescent="0.25">
      <c r="A46" s="9"/>
      <c r="B46" s="33"/>
      <c r="C46" s="33"/>
      <c r="D46" s="109" t="s">
        <v>7</v>
      </c>
      <c r="E46" s="109"/>
      <c r="F46" s="109"/>
      <c r="G46" s="66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  <c r="AK46" s="110"/>
      <c r="AL46" s="110"/>
      <c r="AM46" s="110"/>
      <c r="AN46" s="110"/>
      <c r="AO46" s="110"/>
    </row>
    <row r="47" spans="1:43" x14ac:dyDescent="0.25">
      <c r="A47" s="9"/>
      <c r="B47" s="33"/>
      <c r="C47" s="33"/>
      <c r="D47" s="115" t="s">
        <v>8</v>
      </c>
      <c r="E47" s="115"/>
      <c r="F47" s="115"/>
      <c r="G47" s="34"/>
      <c r="H47" s="110" t="s">
        <v>21</v>
      </c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  <c r="AO47" s="110"/>
    </row>
    <row r="48" spans="1:43" x14ac:dyDescent="0.25">
      <c r="A48" s="55" t="s">
        <v>21</v>
      </c>
      <c r="B48" s="35" t="s">
        <v>21</v>
      </c>
      <c r="C48" s="35" t="s">
        <v>21</v>
      </c>
      <c r="D48" s="35" t="s">
        <v>21</v>
      </c>
      <c r="E48" s="35" t="s">
        <v>21</v>
      </c>
      <c r="F48" s="36" t="s">
        <v>21</v>
      </c>
      <c r="G48" s="37"/>
      <c r="H48" s="37"/>
      <c r="I48" s="37"/>
      <c r="J48" s="37"/>
      <c r="K48" s="37"/>
      <c r="L48" s="111" t="s">
        <v>9</v>
      </c>
      <c r="M48" s="111"/>
      <c r="N48" s="111"/>
      <c r="O48" s="111"/>
      <c r="P48" s="111"/>
      <c r="Q48" s="111"/>
      <c r="R48" s="111"/>
      <c r="S48" s="111"/>
      <c r="T48" s="37"/>
      <c r="U48" s="37"/>
      <c r="V48" s="111"/>
      <c r="W48" s="111"/>
      <c r="X48" s="111"/>
      <c r="Y48" s="111"/>
      <c r="Z48" s="111"/>
      <c r="AA48" s="111"/>
      <c r="AB48" s="111"/>
      <c r="AC48" s="111"/>
      <c r="AE48" s="37"/>
      <c r="AF48" s="112" t="s">
        <v>10</v>
      </c>
      <c r="AG48" s="112"/>
      <c r="AH48" s="112"/>
      <c r="AI48" s="112"/>
      <c r="AJ48" s="112"/>
      <c r="AK48" s="112"/>
      <c r="AL48" s="112"/>
      <c r="AM48" s="112"/>
      <c r="AN48" s="112"/>
      <c r="AO48" s="112"/>
    </row>
    <row r="49" spans="1:41" x14ac:dyDescent="0.25">
      <c r="A49" s="55" t="s">
        <v>21</v>
      </c>
      <c r="B49" s="35" t="s">
        <v>21</v>
      </c>
      <c r="C49" s="35" t="s">
        <v>21</v>
      </c>
      <c r="D49" s="35" t="s">
        <v>21</v>
      </c>
      <c r="E49" s="35" t="s">
        <v>21</v>
      </c>
      <c r="F49" s="38"/>
      <c r="G49" s="39"/>
      <c r="H49" s="113" t="s">
        <v>11</v>
      </c>
      <c r="I49" s="113"/>
      <c r="J49" s="113"/>
      <c r="K49" s="113"/>
      <c r="L49" s="111" t="s">
        <v>36</v>
      </c>
      <c r="M49" s="111"/>
      <c r="N49" s="111"/>
      <c r="O49" s="111"/>
      <c r="P49" s="111"/>
      <c r="Q49" s="111"/>
      <c r="R49" s="111"/>
      <c r="S49" s="111"/>
      <c r="T49" s="37"/>
      <c r="U49" s="37"/>
      <c r="V49" s="111"/>
      <c r="W49" s="111"/>
      <c r="X49" s="111"/>
      <c r="Y49" s="111"/>
      <c r="Z49" s="111"/>
      <c r="AA49" s="111"/>
      <c r="AB49" s="111"/>
      <c r="AC49" s="111"/>
      <c r="AD49" s="37"/>
      <c r="AE49" s="37"/>
      <c r="AF49" s="114" t="s">
        <v>39</v>
      </c>
      <c r="AG49" s="114"/>
      <c r="AH49" s="114"/>
      <c r="AI49" s="114"/>
      <c r="AJ49" s="114"/>
      <c r="AK49" s="114"/>
      <c r="AL49" s="114"/>
      <c r="AM49" s="114"/>
      <c r="AN49" s="114"/>
      <c r="AO49" s="114"/>
    </row>
    <row r="50" spans="1:41" x14ac:dyDescent="0.25">
      <c r="A50" s="55"/>
      <c r="B50" s="35"/>
      <c r="C50" s="35"/>
      <c r="D50" s="35"/>
      <c r="E50" s="35"/>
      <c r="F50" s="38"/>
      <c r="G50" s="39"/>
      <c r="H50" s="113" t="s">
        <v>12</v>
      </c>
      <c r="I50" s="113"/>
      <c r="J50" s="113"/>
      <c r="K50" s="113"/>
      <c r="L50" s="111" t="s">
        <v>13</v>
      </c>
      <c r="M50" s="111"/>
      <c r="N50" s="111"/>
      <c r="O50" s="111"/>
      <c r="P50" s="111"/>
      <c r="Q50" s="111"/>
      <c r="R50" s="111"/>
      <c r="S50" s="111"/>
      <c r="T50" s="37"/>
      <c r="U50" s="37"/>
      <c r="V50" s="111"/>
      <c r="W50" s="111"/>
      <c r="X50" s="111"/>
      <c r="Y50" s="111"/>
      <c r="Z50" s="111"/>
      <c r="AA50" s="111"/>
      <c r="AB50" s="111"/>
      <c r="AC50" s="111"/>
      <c r="AD50" s="40"/>
      <c r="AE50" s="40"/>
      <c r="AF50" s="114" t="s">
        <v>35</v>
      </c>
      <c r="AG50" s="114"/>
      <c r="AH50" s="114"/>
      <c r="AI50" s="114"/>
      <c r="AJ50" s="114"/>
      <c r="AK50" s="114"/>
      <c r="AL50" s="114"/>
      <c r="AM50" s="114"/>
      <c r="AN50" s="114"/>
      <c r="AO50" s="114"/>
    </row>
    <row r="51" spans="1:41" x14ac:dyDescent="0.25">
      <c r="A51" s="55"/>
      <c r="B51" s="35"/>
      <c r="C51" s="35"/>
      <c r="D51" s="35"/>
      <c r="E51" s="35"/>
      <c r="F51" s="38"/>
      <c r="G51" s="39"/>
      <c r="H51" s="113" t="s">
        <v>15</v>
      </c>
      <c r="I51" s="113"/>
      <c r="J51" s="113"/>
      <c r="K51" s="113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41"/>
      <c r="W51" s="41"/>
      <c r="X51" s="30"/>
      <c r="Y51" s="30"/>
      <c r="Z51" s="30"/>
      <c r="AA51" s="30"/>
      <c r="AB51" s="30"/>
      <c r="AC51" s="30"/>
      <c r="AD51" s="30"/>
      <c r="AE51" s="30"/>
      <c r="AF51" s="30"/>
      <c r="AG51" s="41"/>
      <c r="AH51" s="41"/>
      <c r="AI51" s="41"/>
      <c r="AJ51" s="41"/>
      <c r="AK51" s="41"/>
      <c r="AL51" s="41"/>
      <c r="AM51" s="30"/>
      <c r="AN51" s="30"/>
      <c r="AO51" s="42"/>
    </row>
    <row r="52" spans="1:41" x14ac:dyDescent="0.25">
      <c r="A52" s="43"/>
      <c r="B52" s="44"/>
      <c r="C52" s="45"/>
      <c r="D52" s="46"/>
      <c r="E52" s="46"/>
      <c r="F52" s="47"/>
      <c r="G52" s="44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48"/>
    </row>
    <row r="54" spans="1:41" x14ac:dyDescent="0.25">
      <c r="D54" s="68"/>
      <c r="F54" s="68"/>
      <c r="G54" s="27"/>
      <c r="H54" s="27"/>
      <c r="I54" s="27"/>
      <c r="J54" s="27"/>
      <c r="K54" s="27"/>
      <c r="L54" s="27"/>
    </row>
  </sheetData>
  <sortState xmlns:xlrd2="http://schemas.microsoft.com/office/spreadsheetml/2017/richdata2" ref="D10:G120">
    <sortCondition ref="E10:E120"/>
  </sortState>
  <mergeCells count="24">
    <mergeCell ref="L48:S48"/>
    <mergeCell ref="V48:AC48"/>
    <mergeCell ref="AF48:AO48"/>
    <mergeCell ref="H51:K51"/>
    <mergeCell ref="H49:K49"/>
    <mergeCell ref="L49:S49"/>
    <mergeCell ref="V49:AC49"/>
    <mergeCell ref="AF49:AO49"/>
    <mergeCell ref="H50:K50"/>
    <mergeCell ref="L50:S50"/>
    <mergeCell ref="V50:AC50"/>
    <mergeCell ref="AF50:AO50"/>
    <mergeCell ref="H6:AL6"/>
    <mergeCell ref="A6:E6"/>
    <mergeCell ref="D46:F46"/>
    <mergeCell ref="H46:AO46"/>
    <mergeCell ref="D47:F47"/>
    <mergeCell ref="H47:AO47"/>
    <mergeCell ref="A1:AO2"/>
    <mergeCell ref="A4:C5"/>
    <mergeCell ref="D4:F4"/>
    <mergeCell ref="H4:AL5"/>
    <mergeCell ref="AM4:AO5"/>
    <mergeCell ref="D5:F5"/>
  </mergeCells>
  <printOptions horizontalCentered="1"/>
  <pageMargins left="0" right="0" top="0.31496062992125984" bottom="0.27559055118110237" header="0.51181102362204722" footer="0.51181102362204722"/>
  <pageSetup paperSize="9" scale="70" firstPageNumber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09728-2FF3-467D-98E7-ECB606319B67}">
  <dimension ref="A1:IT64"/>
  <sheetViews>
    <sheetView topLeftCell="A4" zoomScale="130" zoomScaleNormal="130" workbookViewId="0">
      <pane xSplit="7" ySplit="4" topLeftCell="H8" activePane="bottomRight" state="frozen"/>
      <selection activeCell="A4" sqref="A4"/>
      <selection pane="topRight" activeCell="H4" sqref="H4"/>
      <selection pane="bottomLeft" activeCell="A9" sqref="A9"/>
      <selection pane="bottomRight" activeCell="F6" sqref="F6"/>
    </sheetView>
  </sheetViews>
  <sheetFormatPr defaultRowHeight="15" x14ac:dyDescent="0.25"/>
  <cols>
    <col min="1" max="1" width="7.28515625" style="67" customWidth="1"/>
    <col min="2" max="2" width="9.140625" style="67"/>
    <col min="3" max="3" width="3" style="67" hidden="1" customWidth="1"/>
    <col min="4" max="4" width="10.42578125" style="69" customWidth="1"/>
    <col min="5" max="5" width="14.140625" style="69" customWidth="1"/>
    <col min="6" max="6" width="24.7109375" style="69" customWidth="1"/>
    <col min="7" max="7" width="18" style="67" customWidth="1"/>
    <col min="8" max="38" width="3.42578125" style="32" customWidth="1"/>
    <col min="39" max="254" width="8.140625" style="32" customWidth="1"/>
    <col min="255" max="1022" width="8.5703125" style="5" customWidth="1"/>
    <col min="1023" max="16384" width="9.140625" style="5"/>
  </cols>
  <sheetData>
    <row r="1" spans="1:43" ht="15.75" customHeight="1" x14ac:dyDescent="0.25">
      <c r="A1" s="100"/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</row>
    <row r="2" spans="1:43" x14ac:dyDescent="0.25">
      <c r="A2" s="100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</row>
    <row r="3" spans="1:43" x14ac:dyDescent="0.25">
      <c r="A3" s="56"/>
      <c r="B3" s="57"/>
      <c r="C3" s="58"/>
      <c r="D3" s="59"/>
      <c r="E3" s="59"/>
      <c r="F3" s="60"/>
      <c r="G3" s="61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77"/>
    </row>
    <row r="4" spans="1:43" ht="24" customHeight="1" x14ac:dyDescent="0.25">
      <c r="A4" s="101" t="s">
        <v>17</v>
      </c>
      <c r="B4" s="101"/>
      <c r="C4" s="101"/>
      <c r="D4" s="102" t="s">
        <v>0</v>
      </c>
      <c r="E4" s="102"/>
      <c r="F4" s="102"/>
      <c r="G4" s="62"/>
      <c r="H4" s="103" t="s">
        <v>34</v>
      </c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5"/>
      <c r="AN4" s="105"/>
      <c r="AO4" s="105"/>
    </row>
    <row r="5" spans="1:43" ht="15.75" customHeight="1" x14ac:dyDescent="0.25">
      <c r="A5" s="101"/>
      <c r="B5" s="101"/>
      <c r="C5" s="101"/>
      <c r="D5" s="106" t="s">
        <v>38</v>
      </c>
      <c r="E5" s="106"/>
      <c r="F5" s="106"/>
      <c r="G5" s="63" t="s">
        <v>21</v>
      </c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5"/>
      <c r="AN5" s="105"/>
      <c r="AO5" s="105"/>
    </row>
    <row r="6" spans="1:43" ht="27" customHeight="1" x14ac:dyDescent="0.25">
      <c r="A6" s="107" t="s">
        <v>41</v>
      </c>
      <c r="B6" s="107"/>
      <c r="C6" s="107"/>
      <c r="D6" s="107"/>
      <c r="E6" s="107"/>
      <c r="F6" s="64" t="s">
        <v>40</v>
      </c>
      <c r="G6" s="72">
        <v>2026</v>
      </c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/>
      <c r="AI6" s="108"/>
      <c r="AJ6" s="108"/>
      <c r="AK6" s="108"/>
      <c r="AL6" s="108"/>
      <c r="AM6" s="65"/>
      <c r="AN6" s="65"/>
      <c r="AO6" s="65"/>
    </row>
    <row r="7" spans="1:43" ht="25.5" x14ac:dyDescent="0.25">
      <c r="A7" s="9" t="s">
        <v>1</v>
      </c>
      <c r="B7" s="10" t="s">
        <v>2</v>
      </c>
      <c r="C7" s="23"/>
      <c r="D7" s="49" t="s">
        <v>20</v>
      </c>
      <c r="E7" s="50" t="s">
        <v>37</v>
      </c>
      <c r="F7" s="24" t="s">
        <v>18</v>
      </c>
      <c r="G7" s="22" t="s">
        <v>3</v>
      </c>
      <c r="H7" s="22">
        <v>1</v>
      </c>
      <c r="I7" s="22">
        <v>2</v>
      </c>
      <c r="J7" s="22">
        <v>3</v>
      </c>
      <c r="K7" s="22">
        <v>4</v>
      </c>
      <c r="L7" s="22">
        <v>5</v>
      </c>
      <c r="M7" s="22">
        <v>6</v>
      </c>
      <c r="N7" s="22">
        <v>7</v>
      </c>
      <c r="O7" s="22">
        <v>8</v>
      </c>
      <c r="P7" s="22">
        <v>9</v>
      </c>
      <c r="Q7" s="22">
        <v>10</v>
      </c>
      <c r="R7" s="22">
        <v>11</v>
      </c>
      <c r="S7" s="22">
        <v>12</v>
      </c>
      <c r="T7" s="22">
        <v>13</v>
      </c>
      <c r="U7" s="22">
        <v>14</v>
      </c>
      <c r="V7" s="22">
        <v>15</v>
      </c>
      <c r="W7" s="22">
        <v>16</v>
      </c>
      <c r="X7" s="22">
        <v>17</v>
      </c>
      <c r="Y7" s="22">
        <v>18</v>
      </c>
      <c r="Z7" s="22">
        <v>19</v>
      </c>
      <c r="AA7" s="22">
        <v>20</v>
      </c>
      <c r="AB7" s="22">
        <v>21</v>
      </c>
      <c r="AC7" s="22">
        <v>22</v>
      </c>
      <c r="AD7" s="22">
        <v>23</v>
      </c>
      <c r="AE7" s="22">
        <v>24</v>
      </c>
      <c r="AF7" s="22">
        <v>25</v>
      </c>
      <c r="AG7" s="22">
        <v>26</v>
      </c>
      <c r="AH7" s="22">
        <v>27</v>
      </c>
      <c r="AI7" s="22">
        <v>28</v>
      </c>
      <c r="AJ7" s="22">
        <v>29</v>
      </c>
      <c r="AK7" s="22">
        <v>30</v>
      </c>
      <c r="AL7" s="22">
        <v>31</v>
      </c>
      <c r="AM7" s="17" t="s">
        <v>4</v>
      </c>
      <c r="AN7" s="17" t="s">
        <v>5</v>
      </c>
      <c r="AO7" s="17" t="s">
        <v>6</v>
      </c>
    </row>
    <row r="8" spans="1:43" x14ac:dyDescent="0.25">
      <c r="A8" s="18">
        <v>1</v>
      </c>
      <c r="B8" s="19"/>
      <c r="C8" s="18"/>
      <c r="D8" s="51">
        <v>95738</v>
      </c>
      <c r="E8" s="52" t="s">
        <v>73</v>
      </c>
      <c r="F8" s="25" t="s">
        <v>74</v>
      </c>
      <c r="G8" s="20" t="s">
        <v>30</v>
      </c>
      <c r="H8" s="12"/>
      <c r="I8" s="12"/>
      <c r="J8" s="12"/>
      <c r="K8" s="12"/>
      <c r="L8" s="12">
        <v>2</v>
      </c>
      <c r="M8" s="12">
        <v>2</v>
      </c>
      <c r="N8" s="12">
        <v>2</v>
      </c>
      <c r="O8" s="12">
        <v>2</v>
      </c>
      <c r="P8" s="12">
        <v>2</v>
      </c>
      <c r="Q8" s="12">
        <v>5</v>
      </c>
      <c r="R8" s="12"/>
      <c r="S8" s="12">
        <v>2</v>
      </c>
      <c r="T8" s="12">
        <v>2</v>
      </c>
      <c r="U8" s="12">
        <v>2</v>
      </c>
      <c r="V8" s="12">
        <v>2</v>
      </c>
      <c r="W8" s="12">
        <v>2</v>
      </c>
      <c r="X8" s="12">
        <v>5</v>
      </c>
      <c r="Y8" s="12"/>
      <c r="Z8" s="12">
        <v>2</v>
      </c>
      <c r="AA8" s="12">
        <v>2</v>
      </c>
      <c r="AB8" s="12">
        <v>2</v>
      </c>
      <c r="AC8" s="12">
        <v>2</v>
      </c>
      <c r="AD8" s="12">
        <v>2</v>
      </c>
      <c r="AE8" s="12">
        <v>5</v>
      </c>
      <c r="AF8" s="12"/>
      <c r="AG8" s="12"/>
      <c r="AH8" s="12"/>
      <c r="AI8" s="12"/>
      <c r="AJ8" s="12"/>
      <c r="AK8" s="12"/>
      <c r="AL8" s="12"/>
      <c r="AM8" s="15">
        <f>SUM(H8:AL8)</f>
        <v>45</v>
      </c>
      <c r="AN8" s="17"/>
      <c r="AO8" s="17"/>
      <c r="AP8" s="78">
        <f t="shared" ref="AP8:AP45" si="0">50-AM8</f>
        <v>5</v>
      </c>
    </row>
    <row r="9" spans="1:43" x14ac:dyDescent="0.25">
      <c r="A9" s="18">
        <v>2</v>
      </c>
      <c r="B9" s="26"/>
      <c r="C9" s="19"/>
      <c r="D9" s="53">
        <v>292687</v>
      </c>
      <c r="E9" s="54">
        <v>17780206102</v>
      </c>
      <c r="F9" s="21" t="s">
        <v>42</v>
      </c>
      <c r="G9" s="20" t="s">
        <v>16</v>
      </c>
      <c r="H9" s="12"/>
      <c r="I9" s="12"/>
      <c r="J9" s="12"/>
      <c r="K9" s="12"/>
      <c r="L9" s="12">
        <v>2</v>
      </c>
      <c r="M9" s="12">
        <v>2</v>
      </c>
      <c r="N9" s="12">
        <v>2</v>
      </c>
      <c r="O9" s="12">
        <v>2</v>
      </c>
      <c r="P9" s="12">
        <v>2</v>
      </c>
      <c r="Q9" s="12">
        <v>5</v>
      </c>
      <c r="R9" s="12">
        <v>5</v>
      </c>
      <c r="S9" s="12">
        <v>2</v>
      </c>
      <c r="T9" s="12">
        <v>2</v>
      </c>
      <c r="U9" s="12">
        <v>2</v>
      </c>
      <c r="V9" s="12">
        <v>2</v>
      </c>
      <c r="W9" s="12">
        <v>2</v>
      </c>
      <c r="X9" s="12"/>
      <c r="Y9" s="12"/>
      <c r="Z9" s="12">
        <v>2</v>
      </c>
      <c r="AA9" s="12">
        <v>2</v>
      </c>
      <c r="AB9" s="12">
        <v>2</v>
      </c>
      <c r="AC9" s="12">
        <v>2</v>
      </c>
      <c r="AD9" s="12">
        <v>2</v>
      </c>
      <c r="AE9" s="12"/>
      <c r="AF9" s="12"/>
      <c r="AG9" s="12">
        <v>2</v>
      </c>
      <c r="AH9" s="12">
        <v>2</v>
      </c>
      <c r="AI9" s="12">
        <v>1</v>
      </c>
      <c r="AJ9" s="12"/>
      <c r="AK9" s="12"/>
      <c r="AL9" s="12"/>
      <c r="AM9" s="15">
        <f t="shared" ref="AM9:AM45" si="1">SUM(H9:AL9)</f>
        <v>45</v>
      </c>
      <c r="AN9" s="16"/>
      <c r="AO9" s="16"/>
      <c r="AP9" s="78">
        <f t="shared" si="0"/>
        <v>5</v>
      </c>
      <c r="AQ9" s="5"/>
    </row>
    <row r="10" spans="1:43" x14ac:dyDescent="0.25">
      <c r="A10" s="18">
        <v>3</v>
      </c>
      <c r="B10" s="26"/>
      <c r="C10" s="19"/>
      <c r="D10" s="53">
        <v>304066</v>
      </c>
      <c r="E10" s="28">
        <v>13435205384</v>
      </c>
      <c r="F10" s="21" t="s">
        <v>43</v>
      </c>
      <c r="G10" s="20" t="s">
        <v>16</v>
      </c>
      <c r="H10" s="12"/>
      <c r="I10" s="12"/>
      <c r="J10" s="12"/>
      <c r="K10" s="12"/>
      <c r="L10" s="12">
        <v>2</v>
      </c>
      <c r="M10" s="12">
        <v>2</v>
      </c>
      <c r="N10" s="12">
        <v>2</v>
      </c>
      <c r="O10" s="12">
        <v>2</v>
      </c>
      <c r="P10" s="12">
        <v>2</v>
      </c>
      <c r="Q10" s="12">
        <v>5</v>
      </c>
      <c r="R10" s="12">
        <v>5</v>
      </c>
      <c r="S10" s="12">
        <v>2</v>
      </c>
      <c r="T10" s="12">
        <v>2</v>
      </c>
      <c r="U10" s="12">
        <v>2</v>
      </c>
      <c r="V10" s="12">
        <v>2</v>
      </c>
      <c r="W10" s="12">
        <v>2</v>
      </c>
      <c r="X10" s="12"/>
      <c r="Y10" s="12"/>
      <c r="Z10" s="12">
        <v>2</v>
      </c>
      <c r="AA10" s="12">
        <v>2</v>
      </c>
      <c r="AB10" s="12">
        <v>2</v>
      </c>
      <c r="AC10" s="12">
        <v>2</v>
      </c>
      <c r="AD10" s="12">
        <v>2</v>
      </c>
      <c r="AE10" s="12"/>
      <c r="AF10" s="12"/>
      <c r="AG10" s="12">
        <v>2</v>
      </c>
      <c r="AH10" s="12">
        <v>2</v>
      </c>
      <c r="AI10" s="12">
        <v>1</v>
      </c>
      <c r="AJ10" s="12"/>
      <c r="AK10" s="12"/>
      <c r="AL10" s="12"/>
      <c r="AM10" s="15">
        <f t="shared" si="1"/>
        <v>45</v>
      </c>
      <c r="AN10" s="16"/>
      <c r="AO10" s="16"/>
      <c r="AP10" s="78">
        <f t="shared" si="0"/>
        <v>5</v>
      </c>
      <c r="AQ10" s="5"/>
    </row>
    <row r="11" spans="1:43" x14ac:dyDescent="0.25">
      <c r="A11" s="18">
        <v>4</v>
      </c>
      <c r="B11" s="26"/>
      <c r="C11" s="19"/>
      <c r="D11" s="53">
        <v>287485</v>
      </c>
      <c r="E11" s="54">
        <v>36779025470</v>
      </c>
      <c r="F11" s="21" t="s">
        <v>44</v>
      </c>
      <c r="G11" s="20" t="s">
        <v>16</v>
      </c>
      <c r="H11" s="12"/>
      <c r="I11" s="12"/>
      <c r="J11" s="12"/>
      <c r="K11" s="12"/>
      <c r="L11" s="12">
        <v>2</v>
      </c>
      <c r="M11" s="12">
        <v>2</v>
      </c>
      <c r="N11" s="12">
        <v>2</v>
      </c>
      <c r="O11" s="12">
        <v>2</v>
      </c>
      <c r="P11" s="12">
        <v>2</v>
      </c>
      <c r="Q11" s="12">
        <v>5</v>
      </c>
      <c r="R11" s="12">
        <v>5</v>
      </c>
      <c r="S11" s="12">
        <v>2</v>
      </c>
      <c r="T11" s="12">
        <v>2</v>
      </c>
      <c r="U11" s="12">
        <v>2</v>
      </c>
      <c r="V11" s="12">
        <v>2</v>
      </c>
      <c r="W11" s="12">
        <v>2</v>
      </c>
      <c r="X11" s="12"/>
      <c r="Y11" s="12"/>
      <c r="Z11" s="12">
        <v>2</v>
      </c>
      <c r="AA11" s="12">
        <v>2</v>
      </c>
      <c r="AB11" s="12">
        <v>2</v>
      </c>
      <c r="AC11" s="12">
        <v>2</v>
      </c>
      <c r="AD11" s="12">
        <v>2</v>
      </c>
      <c r="AE11" s="12"/>
      <c r="AF11" s="12"/>
      <c r="AG11" s="12">
        <v>2</v>
      </c>
      <c r="AH11" s="12">
        <v>2</v>
      </c>
      <c r="AI11" s="12">
        <v>1</v>
      </c>
      <c r="AJ11" s="12"/>
      <c r="AK11" s="12"/>
      <c r="AL11" s="12"/>
      <c r="AM11" s="15">
        <f t="shared" si="1"/>
        <v>45</v>
      </c>
      <c r="AN11" s="16"/>
      <c r="AO11" s="16"/>
      <c r="AP11" s="78">
        <f t="shared" si="0"/>
        <v>5</v>
      </c>
      <c r="AQ11" s="5"/>
    </row>
    <row r="12" spans="1:43" x14ac:dyDescent="0.25">
      <c r="A12" s="18">
        <v>5</v>
      </c>
      <c r="B12" s="26"/>
      <c r="C12" s="19"/>
      <c r="D12" s="53">
        <v>287520</v>
      </c>
      <c r="E12" s="54">
        <v>47089654014</v>
      </c>
      <c r="F12" s="21" t="s">
        <v>45</v>
      </c>
      <c r="G12" s="20" t="s">
        <v>16</v>
      </c>
      <c r="H12" s="12"/>
      <c r="I12" s="12"/>
      <c r="J12" s="12"/>
      <c r="K12" s="12"/>
      <c r="L12" s="12">
        <v>2</v>
      </c>
      <c r="M12" s="12">
        <v>2</v>
      </c>
      <c r="N12" s="12">
        <v>2</v>
      </c>
      <c r="O12" s="12">
        <v>2</v>
      </c>
      <c r="P12" s="12">
        <v>2</v>
      </c>
      <c r="Q12" s="12">
        <v>5</v>
      </c>
      <c r="R12" s="12">
        <v>5</v>
      </c>
      <c r="S12" s="12">
        <v>2</v>
      </c>
      <c r="T12" s="12">
        <v>2</v>
      </c>
      <c r="U12" s="12">
        <v>2</v>
      </c>
      <c r="V12" s="12"/>
      <c r="W12" s="12"/>
      <c r="X12" s="12"/>
      <c r="Y12" s="12"/>
      <c r="Z12" s="12">
        <v>2</v>
      </c>
      <c r="AA12" s="12">
        <v>2</v>
      </c>
      <c r="AB12" s="12">
        <v>2</v>
      </c>
      <c r="AC12" s="12">
        <v>2</v>
      </c>
      <c r="AD12" s="12">
        <v>2</v>
      </c>
      <c r="AE12" s="12">
        <v>1</v>
      </c>
      <c r="AF12" s="12"/>
      <c r="AG12" s="12">
        <v>2</v>
      </c>
      <c r="AH12" s="12">
        <v>2</v>
      </c>
      <c r="AI12" s="12">
        <v>2</v>
      </c>
      <c r="AJ12" s="12">
        <v>2</v>
      </c>
      <c r="AK12" s="12"/>
      <c r="AL12" s="12"/>
      <c r="AM12" s="15">
        <f t="shared" si="1"/>
        <v>45</v>
      </c>
      <c r="AN12" s="16"/>
      <c r="AO12" s="16"/>
      <c r="AP12" s="78">
        <f t="shared" si="0"/>
        <v>5</v>
      </c>
      <c r="AQ12" s="5"/>
    </row>
    <row r="13" spans="1:43" x14ac:dyDescent="0.25">
      <c r="A13" s="18">
        <v>6</v>
      </c>
      <c r="B13" s="26"/>
      <c r="C13" s="19"/>
      <c r="D13" s="53">
        <v>287385</v>
      </c>
      <c r="E13" s="54">
        <v>16145792892</v>
      </c>
      <c r="F13" s="21" t="s">
        <v>46</v>
      </c>
      <c r="G13" s="20" t="s">
        <v>16</v>
      </c>
      <c r="H13" s="12"/>
      <c r="I13" s="12"/>
      <c r="J13" s="12"/>
      <c r="K13" s="12"/>
      <c r="L13" s="12">
        <v>2</v>
      </c>
      <c r="M13" s="12">
        <v>2</v>
      </c>
      <c r="N13" s="12">
        <v>2</v>
      </c>
      <c r="O13" s="12">
        <v>2</v>
      </c>
      <c r="P13" s="12">
        <v>2</v>
      </c>
      <c r="Q13" s="12">
        <v>5</v>
      </c>
      <c r="R13" s="12">
        <v>5</v>
      </c>
      <c r="S13" s="12">
        <v>2</v>
      </c>
      <c r="T13" s="12">
        <v>2</v>
      </c>
      <c r="U13" s="12">
        <v>2</v>
      </c>
      <c r="V13" s="12">
        <v>2</v>
      </c>
      <c r="W13" s="12">
        <v>2</v>
      </c>
      <c r="X13" s="12"/>
      <c r="Y13" s="12"/>
      <c r="Z13" s="12">
        <v>2</v>
      </c>
      <c r="AA13" s="12">
        <v>2</v>
      </c>
      <c r="AB13" s="12">
        <v>2</v>
      </c>
      <c r="AC13" s="12">
        <v>2</v>
      </c>
      <c r="AD13" s="12">
        <v>2</v>
      </c>
      <c r="AE13" s="12"/>
      <c r="AF13" s="12"/>
      <c r="AG13" s="12">
        <v>2</v>
      </c>
      <c r="AH13" s="12">
        <v>2</v>
      </c>
      <c r="AI13" s="12">
        <v>1</v>
      </c>
      <c r="AJ13" s="12"/>
      <c r="AK13" s="12"/>
      <c r="AL13" s="12"/>
      <c r="AM13" s="15">
        <f t="shared" si="1"/>
        <v>45</v>
      </c>
      <c r="AN13" s="16"/>
      <c r="AO13" s="16"/>
      <c r="AP13" s="78">
        <f t="shared" si="0"/>
        <v>5</v>
      </c>
      <c r="AQ13" s="5"/>
    </row>
    <row r="14" spans="1:43" x14ac:dyDescent="0.25">
      <c r="A14" s="18">
        <v>7</v>
      </c>
      <c r="B14" s="26"/>
      <c r="C14" s="19"/>
      <c r="D14" s="53">
        <v>304070</v>
      </c>
      <c r="E14" s="54">
        <v>20564502116</v>
      </c>
      <c r="F14" s="21" t="s">
        <v>47</v>
      </c>
      <c r="G14" s="20" t="s">
        <v>16</v>
      </c>
      <c r="H14" s="12"/>
      <c r="I14" s="12"/>
      <c r="J14" s="12"/>
      <c r="K14" s="12"/>
      <c r="L14" s="12">
        <v>2</v>
      </c>
      <c r="M14" s="12">
        <v>2</v>
      </c>
      <c r="N14" s="12">
        <v>2</v>
      </c>
      <c r="O14" s="12">
        <v>2</v>
      </c>
      <c r="P14" s="12">
        <v>2</v>
      </c>
      <c r="Q14" s="12">
        <v>5</v>
      </c>
      <c r="R14" s="12">
        <v>5</v>
      </c>
      <c r="S14" s="12">
        <v>2</v>
      </c>
      <c r="T14" s="12">
        <v>2</v>
      </c>
      <c r="U14" s="12">
        <v>2</v>
      </c>
      <c r="V14" s="12">
        <v>2</v>
      </c>
      <c r="W14" s="12">
        <v>2</v>
      </c>
      <c r="X14" s="12"/>
      <c r="Y14" s="12"/>
      <c r="Z14" s="12">
        <v>2</v>
      </c>
      <c r="AA14" s="12">
        <v>2</v>
      </c>
      <c r="AB14" s="12">
        <v>2</v>
      </c>
      <c r="AC14" s="12">
        <v>2</v>
      </c>
      <c r="AD14" s="12">
        <v>2</v>
      </c>
      <c r="AE14" s="12"/>
      <c r="AF14" s="12"/>
      <c r="AG14" s="12">
        <v>2</v>
      </c>
      <c r="AH14" s="12">
        <v>2</v>
      </c>
      <c r="AI14" s="12">
        <v>1</v>
      </c>
      <c r="AJ14" s="12"/>
      <c r="AK14" s="12"/>
      <c r="AL14" s="12"/>
      <c r="AM14" s="15">
        <f t="shared" si="1"/>
        <v>45</v>
      </c>
      <c r="AN14" s="16"/>
      <c r="AO14" s="16"/>
      <c r="AP14" s="78">
        <f t="shared" si="0"/>
        <v>5</v>
      </c>
      <c r="AQ14" s="5"/>
    </row>
    <row r="15" spans="1:43" x14ac:dyDescent="0.25">
      <c r="A15" s="18">
        <v>8</v>
      </c>
      <c r="B15" s="26"/>
      <c r="C15" s="19"/>
      <c r="D15" s="53">
        <v>304615</v>
      </c>
      <c r="E15" s="54">
        <v>17788074710</v>
      </c>
      <c r="F15" s="21" t="s">
        <v>48</v>
      </c>
      <c r="G15" s="20" t="s">
        <v>16</v>
      </c>
      <c r="H15" s="12"/>
      <c r="I15" s="12"/>
      <c r="J15" s="12"/>
      <c r="K15" s="12">
        <v>5</v>
      </c>
      <c r="L15" s="12">
        <v>2</v>
      </c>
      <c r="M15" s="12">
        <v>2</v>
      </c>
      <c r="N15" s="12">
        <v>2</v>
      </c>
      <c r="O15" s="12">
        <v>2</v>
      </c>
      <c r="P15" s="12">
        <v>2</v>
      </c>
      <c r="Q15" s="12">
        <v>5</v>
      </c>
      <c r="R15" s="12">
        <v>5</v>
      </c>
      <c r="S15" s="12">
        <v>2</v>
      </c>
      <c r="T15" s="12">
        <v>2</v>
      </c>
      <c r="U15" s="12">
        <v>2</v>
      </c>
      <c r="V15" s="12">
        <v>2</v>
      </c>
      <c r="W15" s="12">
        <v>2</v>
      </c>
      <c r="X15" s="12">
        <v>5</v>
      </c>
      <c r="Y15" s="12">
        <v>5</v>
      </c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5">
        <f t="shared" si="1"/>
        <v>45</v>
      </c>
      <c r="AN15" s="16"/>
      <c r="AO15" s="16"/>
      <c r="AP15" s="78">
        <f t="shared" si="0"/>
        <v>5</v>
      </c>
      <c r="AQ15" s="5"/>
    </row>
    <row r="16" spans="1:43" x14ac:dyDescent="0.25">
      <c r="A16" s="18">
        <v>9</v>
      </c>
      <c r="B16" s="26"/>
      <c r="C16" s="19"/>
      <c r="D16" s="53">
        <v>287441</v>
      </c>
      <c r="E16" s="54">
        <v>26831423368</v>
      </c>
      <c r="F16" s="21" t="s">
        <v>49</v>
      </c>
      <c r="G16" s="20" t="s">
        <v>16</v>
      </c>
      <c r="H16" s="12"/>
      <c r="I16" s="12"/>
      <c r="J16" s="12"/>
      <c r="K16" s="12"/>
      <c r="L16" s="12">
        <v>2</v>
      </c>
      <c r="M16" s="12">
        <v>2</v>
      </c>
      <c r="N16" s="12">
        <v>2</v>
      </c>
      <c r="O16" s="12">
        <v>2</v>
      </c>
      <c r="P16" s="12">
        <v>2</v>
      </c>
      <c r="Q16" s="12">
        <v>5</v>
      </c>
      <c r="R16" s="12">
        <v>5</v>
      </c>
      <c r="S16" s="12">
        <v>2</v>
      </c>
      <c r="T16" s="12">
        <v>2</v>
      </c>
      <c r="U16" s="12">
        <v>2</v>
      </c>
      <c r="V16" s="12">
        <v>2</v>
      </c>
      <c r="W16" s="12">
        <v>2</v>
      </c>
      <c r="X16" s="12"/>
      <c r="Y16" s="12"/>
      <c r="Z16" s="12">
        <v>2</v>
      </c>
      <c r="AA16" s="12">
        <v>2</v>
      </c>
      <c r="AB16" s="12">
        <v>2</v>
      </c>
      <c r="AC16" s="12">
        <v>2</v>
      </c>
      <c r="AD16" s="12">
        <v>2</v>
      </c>
      <c r="AE16" s="12"/>
      <c r="AF16" s="12"/>
      <c r="AG16" s="12">
        <v>2</v>
      </c>
      <c r="AH16" s="12">
        <v>2</v>
      </c>
      <c r="AI16" s="12">
        <v>1</v>
      </c>
      <c r="AJ16" s="12"/>
      <c r="AK16" s="12"/>
      <c r="AL16" s="12"/>
      <c r="AM16" s="15">
        <f t="shared" si="1"/>
        <v>45</v>
      </c>
      <c r="AN16" s="16"/>
      <c r="AO16" s="16"/>
      <c r="AP16" s="78">
        <f t="shared" si="0"/>
        <v>5</v>
      </c>
      <c r="AQ16" s="5"/>
    </row>
    <row r="17" spans="1:43" x14ac:dyDescent="0.25">
      <c r="A17" s="18">
        <v>10</v>
      </c>
      <c r="B17" s="26"/>
      <c r="C17" s="19"/>
      <c r="D17" s="53">
        <v>304647</v>
      </c>
      <c r="E17" s="54">
        <v>46657910828</v>
      </c>
      <c r="F17" s="21" t="s">
        <v>50</v>
      </c>
      <c r="G17" s="20" t="s">
        <v>16</v>
      </c>
      <c r="H17" s="12"/>
      <c r="I17" s="12"/>
      <c r="J17" s="12"/>
      <c r="K17" s="12"/>
      <c r="L17" s="12">
        <v>2</v>
      </c>
      <c r="M17" s="12">
        <v>2</v>
      </c>
      <c r="N17" s="12">
        <v>2</v>
      </c>
      <c r="O17" s="12">
        <v>2</v>
      </c>
      <c r="P17" s="12">
        <v>2</v>
      </c>
      <c r="Q17" s="12">
        <v>5</v>
      </c>
      <c r="R17" s="12">
        <v>5</v>
      </c>
      <c r="S17" s="12">
        <v>2</v>
      </c>
      <c r="T17" s="12">
        <v>2</v>
      </c>
      <c r="U17" s="12">
        <v>2</v>
      </c>
      <c r="V17" s="12">
        <v>2</v>
      </c>
      <c r="W17" s="12">
        <v>2</v>
      </c>
      <c r="X17" s="12"/>
      <c r="Y17" s="12"/>
      <c r="Z17" s="12">
        <v>2</v>
      </c>
      <c r="AA17" s="12">
        <v>2</v>
      </c>
      <c r="AB17" s="12">
        <v>2</v>
      </c>
      <c r="AC17" s="12">
        <v>2</v>
      </c>
      <c r="AD17" s="12">
        <v>2</v>
      </c>
      <c r="AE17" s="12"/>
      <c r="AF17" s="12"/>
      <c r="AG17" s="12">
        <v>2</v>
      </c>
      <c r="AH17" s="12">
        <v>2</v>
      </c>
      <c r="AI17" s="12">
        <v>1</v>
      </c>
      <c r="AJ17" s="12"/>
      <c r="AK17" s="12"/>
      <c r="AL17" s="12"/>
      <c r="AM17" s="15">
        <f t="shared" si="1"/>
        <v>45</v>
      </c>
      <c r="AN17" s="16"/>
      <c r="AO17" s="16"/>
      <c r="AP17" s="78">
        <f t="shared" si="0"/>
        <v>5</v>
      </c>
      <c r="AQ17" s="5"/>
    </row>
    <row r="18" spans="1:43" x14ac:dyDescent="0.25">
      <c r="A18" s="18">
        <v>11</v>
      </c>
      <c r="B18" s="26"/>
      <c r="C18" s="19"/>
      <c r="D18" s="53">
        <v>304777</v>
      </c>
      <c r="E18" s="54">
        <v>55948486874</v>
      </c>
      <c r="F18" s="21" t="s">
        <v>51</v>
      </c>
      <c r="G18" s="20" t="s">
        <v>16</v>
      </c>
      <c r="H18" s="12"/>
      <c r="I18" s="12"/>
      <c r="J18" s="12"/>
      <c r="K18" s="12"/>
      <c r="L18" s="12">
        <v>2</v>
      </c>
      <c r="M18" s="12">
        <v>2</v>
      </c>
      <c r="N18" s="12">
        <v>2</v>
      </c>
      <c r="O18" s="12">
        <v>2</v>
      </c>
      <c r="P18" s="12">
        <v>2</v>
      </c>
      <c r="Q18" s="12">
        <v>5</v>
      </c>
      <c r="R18" s="12">
        <v>5</v>
      </c>
      <c r="S18" s="12">
        <v>2</v>
      </c>
      <c r="T18" s="12">
        <v>2</v>
      </c>
      <c r="U18" s="12">
        <v>2</v>
      </c>
      <c r="V18" s="12">
        <v>2</v>
      </c>
      <c r="W18" s="12">
        <v>2</v>
      </c>
      <c r="X18" s="12"/>
      <c r="Y18" s="12"/>
      <c r="Z18" s="12">
        <v>2</v>
      </c>
      <c r="AA18" s="12">
        <v>2</v>
      </c>
      <c r="AB18" s="12">
        <v>2</v>
      </c>
      <c r="AC18" s="12">
        <v>2</v>
      </c>
      <c r="AD18" s="12">
        <v>2</v>
      </c>
      <c r="AE18" s="12"/>
      <c r="AF18" s="12"/>
      <c r="AG18" s="12">
        <v>2</v>
      </c>
      <c r="AH18" s="12">
        <v>2</v>
      </c>
      <c r="AI18" s="12">
        <v>1</v>
      </c>
      <c r="AJ18" s="12"/>
      <c r="AK18" s="12"/>
      <c r="AL18" s="12"/>
      <c r="AM18" s="15">
        <f t="shared" si="1"/>
        <v>45</v>
      </c>
      <c r="AN18" s="16"/>
      <c r="AO18" s="16"/>
      <c r="AP18" s="78">
        <f t="shared" si="0"/>
        <v>5</v>
      </c>
      <c r="AQ18" s="5"/>
    </row>
    <row r="19" spans="1:43" x14ac:dyDescent="0.25">
      <c r="A19" s="18">
        <v>12</v>
      </c>
      <c r="B19" s="26"/>
      <c r="C19" s="19"/>
      <c r="D19" s="53">
        <v>304760</v>
      </c>
      <c r="E19" s="54">
        <v>41857369766</v>
      </c>
      <c r="F19" s="21" t="s">
        <v>52</v>
      </c>
      <c r="G19" s="20" t="s">
        <v>16</v>
      </c>
      <c r="H19" s="12"/>
      <c r="I19" s="12"/>
      <c r="J19" s="12"/>
      <c r="K19" s="12"/>
      <c r="L19" s="12">
        <v>1</v>
      </c>
      <c r="M19" s="12">
        <v>2</v>
      </c>
      <c r="N19" s="12">
        <v>2</v>
      </c>
      <c r="O19" s="12">
        <v>2</v>
      </c>
      <c r="P19" s="12">
        <v>2</v>
      </c>
      <c r="Q19" s="12">
        <v>5</v>
      </c>
      <c r="R19" s="12">
        <v>5</v>
      </c>
      <c r="S19" s="12">
        <v>2</v>
      </c>
      <c r="T19" s="12">
        <v>2</v>
      </c>
      <c r="U19" s="12">
        <v>2</v>
      </c>
      <c r="V19" s="12">
        <v>2</v>
      </c>
      <c r="W19" s="12">
        <v>2</v>
      </c>
      <c r="X19" s="12"/>
      <c r="Y19" s="12"/>
      <c r="Z19" s="12">
        <v>2</v>
      </c>
      <c r="AA19" s="12"/>
      <c r="AB19" s="12">
        <v>2</v>
      </c>
      <c r="AC19" s="12">
        <v>2</v>
      </c>
      <c r="AD19" s="12">
        <v>2</v>
      </c>
      <c r="AE19" s="12"/>
      <c r="AF19" s="12"/>
      <c r="AG19" s="12">
        <v>2</v>
      </c>
      <c r="AH19" s="12"/>
      <c r="AI19" s="12">
        <v>2</v>
      </c>
      <c r="AJ19" s="12">
        <v>2</v>
      </c>
      <c r="AK19" s="12">
        <v>2</v>
      </c>
      <c r="AL19" s="12"/>
      <c r="AM19" s="15">
        <f t="shared" si="1"/>
        <v>45</v>
      </c>
      <c r="AN19" s="16"/>
      <c r="AO19" s="16"/>
      <c r="AP19" s="78">
        <f t="shared" si="0"/>
        <v>5</v>
      </c>
      <c r="AQ19" s="5"/>
    </row>
    <row r="20" spans="1:43" x14ac:dyDescent="0.25">
      <c r="A20" s="18">
        <v>13</v>
      </c>
      <c r="B20" s="26"/>
      <c r="C20" s="19"/>
      <c r="D20" s="53">
        <v>110942</v>
      </c>
      <c r="E20" s="54">
        <v>12065762830</v>
      </c>
      <c r="F20" s="21" t="s">
        <v>53</v>
      </c>
      <c r="G20" s="20" t="s">
        <v>16</v>
      </c>
      <c r="H20" s="12"/>
      <c r="I20" s="12"/>
      <c r="J20" s="12"/>
      <c r="K20" s="12"/>
      <c r="L20" s="12"/>
      <c r="M20" s="12"/>
      <c r="N20" s="12"/>
      <c r="O20" s="12"/>
      <c r="P20" s="12"/>
      <c r="Q20" s="12">
        <v>5</v>
      </c>
      <c r="R20" s="12">
        <v>5</v>
      </c>
      <c r="S20" s="12">
        <v>2</v>
      </c>
      <c r="T20" s="12">
        <v>2</v>
      </c>
      <c r="U20" s="12">
        <v>2</v>
      </c>
      <c r="V20" s="12">
        <v>2</v>
      </c>
      <c r="W20" s="12">
        <v>2</v>
      </c>
      <c r="X20" s="12">
        <v>5</v>
      </c>
      <c r="Y20" s="12"/>
      <c r="Z20" s="12">
        <v>2</v>
      </c>
      <c r="AA20" s="12">
        <v>2</v>
      </c>
      <c r="AB20" s="12">
        <v>2</v>
      </c>
      <c r="AC20" s="12">
        <v>2</v>
      </c>
      <c r="AD20" s="12">
        <v>2</v>
      </c>
      <c r="AE20" s="12"/>
      <c r="AF20" s="12"/>
      <c r="AG20" s="12">
        <v>2</v>
      </c>
      <c r="AH20" s="12">
        <v>2</v>
      </c>
      <c r="AI20" s="12">
        <v>2</v>
      </c>
      <c r="AJ20" s="12">
        <v>2</v>
      </c>
      <c r="AK20" s="12">
        <v>2</v>
      </c>
      <c r="AL20" s="12"/>
      <c r="AM20" s="15">
        <f t="shared" si="1"/>
        <v>45</v>
      </c>
      <c r="AN20" s="16"/>
      <c r="AO20" s="16"/>
      <c r="AP20" s="78">
        <f t="shared" si="0"/>
        <v>5</v>
      </c>
      <c r="AQ20" s="5"/>
    </row>
    <row r="21" spans="1:43" x14ac:dyDescent="0.25">
      <c r="A21" s="18">
        <v>14</v>
      </c>
      <c r="B21" s="26"/>
      <c r="C21" s="19"/>
      <c r="D21" s="53">
        <v>229779</v>
      </c>
      <c r="E21" s="54">
        <v>21281416588</v>
      </c>
      <c r="F21" s="21" t="s">
        <v>54</v>
      </c>
      <c r="G21" s="20" t="s">
        <v>16</v>
      </c>
      <c r="H21" s="12"/>
      <c r="I21" s="12"/>
      <c r="J21" s="12"/>
      <c r="K21" s="12"/>
      <c r="L21" s="12">
        <v>2</v>
      </c>
      <c r="M21" s="12">
        <v>2</v>
      </c>
      <c r="N21" s="12">
        <v>2</v>
      </c>
      <c r="O21" s="12">
        <v>2</v>
      </c>
      <c r="P21" s="12">
        <v>2</v>
      </c>
      <c r="Q21" s="12">
        <v>5</v>
      </c>
      <c r="R21" s="12">
        <v>5</v>
      </c>
      <c r="S21" s="12">
        <v>2</v>
      </c>
      <c r="T21" s="12">
        <v>2</v>
      </c>
      <c r="U21" s="12">
        <v>2</v>
      </c>
      <c r="V21" s="12">
        <v>2</v>
      </c>
      <c r="W21" s="12">
        <v>2</v>
      </c>
      <c r="X21" s="12"/>
      <c r="Y21" s="12"/>
      <c r="Z21" s="12">
        <v>2</v>
      </c>
      <c r="AA21" s="12">
        <v>2</v>
      </c>
      <c r="AB21" s="12">
        <v>2</v>
      </c>
      <c r="AC21" s="12">
        <v>2</v>
      </c>
      <c r="AD21" s="12">
        <v>2</v>
      </c>
      <c r="AE21" s="12"/>
      <c r="AF21" s="12"/>
      <c r="AG21" s="12">
        <v>2</v>
      </c>
      <c r="AH21" s="12">
        <v>2</v>
      </c>
      <c r="AI21" s="12">
        <v>1</v>
      </c>
      <c r="AJ21" s="12"/>
      <c r="AK21" s="12"/>
      <c r="AL21" s="12"/>
      <c r="AM21" s="15">
        <f t="shared" si="1"/>
        <v>45</v>
      </c>
      <c r="AN21" s="16"/>
      <c r="AO21" s="16"/>
      <c r="AP21" s="78">
        <f t="shared" si="0"/>
        <v>5</v>
      </c>
      <c r="AQ21" s="5"/>
    </row>
    <row r="22" spans="1:43" x14ac:dyDescent="0.25">
      <c r="A22" s="18">
        <v>15</v>
      </c>
      <c r="B22" s="26"/>
      <c r="C22" s="19"/>
      <c r="D22" s="53">
        <v>253212</v>
      </c>
      <c r="E22" s="54">
        <v>15344845576</v>
      </c>
      <c r="F22" s="21" t="s">
        <v>55</v>
      </c>
      <c r="G22" s="20" t="s">
        <v>16</v>
      </c>
      <c r="H22" s="12"/>
      <c r="I22" s="12"/>
      <c r="J22" s="12"/>
      <c r="K22" s="12">
        <v>5</v>
      </c>
      <c r="L22" s="12">
        <v>3</v>
      </c>
      <c r="M22" s="12">
        <v>3</v>
      </c>
      <c r="N22" s="12">
        <v>3</v>
      </c>
      <c r="O22" s="12">
        <v>3</v>
      </c>
      <c r="P22" s="12">
        <v>3</v>
      </c>
      <c r="Q22" s="12">
        <v>5</v>
      </c>
      <c r="R22" s="12">
        <v>5</v>
      </c>
      <c r="S22" s="12">
        <v>3</v>
      </c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>
        <v>3</v>
      </c>
      <c r="AH22" s="12">
        <v>3</v>
      </c>
      <c r="AI22" s="12">
        <v>2</v>
      </c>
      <c r="AJ22" s="12">
        <v>2</v>
      </c>
      <c r="AK22" s="12">
        <v>2</v>
      </c>
      <c r="AL22" s="12"/>
      <c r="AM22" s="15">
        <f t="shared" si="1"/>
        <v>45</v>
      </c>
      <c r="AN22" s="16"/>
      <c r="AO22" s="16"/>
      <c r="AP22" s="78">
        <f t="shared" si="0"/>
        <v>5</v>
      </c>
      <c r="AQ22" s="5"/>
    </row>
    <row r="23" spans="1:43" x14ac:dyDescent="0.25">
      <c r="A23" s="18">
        <v>16</v>
      </c>
      <c r="B23" s="26"/>
      <c r="C23" s="19"/>
      <c r="D23" s="53">
        <v>222207</v>
      </c>
      <c r="E23" s="54">
        <v>13879006622</v>
      </c>
      <c r="F23" s="21" t="s">
        <v>56</v>
      </c>
      <c r="G23" s="20" t="s">
        <v>16</v>
      </c>
      <c r="H23" s="12"/>
      <c r="I23" s="12"/>
      <c r="J23" s="12"/>
      <c r="K23" s="12"/>
      <c r="L23" s="12">
        <v>2</v>
      </c>
      <c r="M23" s="12">
        <v>2</v>
      </c>
      <c r="N23" s="12">
        <v>2</v>
      </c>
      <c r="O23" s="12">
        <v>2</v>
      </c>
      <c r="P23" s="12">
        <v>2</v>
      </c>
      <c r="Q23" s="12">
        <v>5</v>
      </c>
      <c r="R23" s="12">
        <v>5</v>
      </c>
      <c r="S23" s="12">
        <v>2</v>
      </c>
      <c r="T23" s="12">
        <v>2</v>
      </c>
      <c r="U23" s="12">
        <v>2</v>
      </c>
      <c r="V23" s="12">
        <v>2</v>
      </c>
      <c r="W23" s="12">
        <v>2</v>
      </c>
      <c r="X23" s="12"/>
      <c r="Y23" s="12"/>
      <c r="Z23" s="12">
        <v>2</v>
      </c>
      <c r="AA23" s="12">
        <v>2</v>
      </c>
      <c r="AB23" s="12">
        <v>2</v>
      </c>
      <c r="AC23" s="12">
        <v>2</v>
      </c>
      <c r="AD23" s="12">
        <v>2</v>
      </c>
      <c r="AE23" s="12"/>
      <c r="AF23" s="12"/>
      <c r="AG23" s="12">
        <v>2</v>
      </c>
      <c r="AH23" s="12">
        <v>2</v>
      </c>
      <c r="AI23" s="12">
        <v>1</v>
      </c>
      <c r="AJ23" s="12"/>
      <c r="AK23" s="12"/>
      <c r="AL23" s="12"/>
      <c r="AM23" s="15">
        <f t="shared" si="1"/>
        <v>45</v>
      </c>
      <c r="AN23" s="16"/>
      <c r="AO23" s="16"/>
      <c r="AP23" s="78">
        <f t="shared" si="0"/>
        <v>5</v>
      </c>
      <c r="AQ23" s="5"/>
    </row>
    <row r="24" spans="1:43" ht="15" customHeight="1" x14ac:dyDescent="0.25">
      <c r="A24" s="18">
        <v>17</v>
      </c>
      <c r="B24" s="26"/>
      <c r="C24" s="19"/>
      <c r="D24" s="53">
        <v>304006</v>
      </c>
      <c r="E24" s="54">
        <v>11026134198</v>
      </c>
      <c r="F24" s="71" t="s">
        <v>57</v>
      </c>
      <c r="G24" s="20" t="s">
        <v>16</v>
      </c>
      <c r="H24" s="12"/>
      <c r="I24" s="12"/>
      <c r="J24" s="12"/>
      <c r="K24" s="12"/>
      <c r="L24" s="12">
        <v>2</v>
      </c>
      <c r="M24" s="12">
        <v>2</v>
      </c>
      <c r="N24" s="12">
        <v>2</v>
      </c>
      <c r="O24" s="12">
        <v>2</v>
      </c>
      <c r="P24" s="12">
        <v>2</v>
      </c>
      <c r="Q24" s="12">
        <v>5</v>
      </c>
      <c r="R24" s="12">
        <v>5</v>
      </c>
      <c r="S24" s="12">
        <v>2</v>
      </c>
      <c r="T24" s="12">
        <v>2</v>
      </c>
      <c r="U24" s="12">
        <v>2</v>
      </c>
      <c r="V24" s="12">
        <v>2</v>
      </c>
      <c r="W24" s="12">
        <v>2</v>
      </c>
      <c r="X24" s="12"/>
      <c r="Y24" s="12"/>
      <c r="Z24" s="12">
        <v>2</v>
      </c>
      <c r="AA24" s="12">
        <v>2</v>
      </c>
      <c r="AB24" s="12">
        <v>2</v>
      </c>
      <c r="AC24" s="12">
        <v>2</v>
      </c>
      <c r="AD24" s="12">
        <v>2</v>
      </c>
      <c r="AE24" s="12"/>
      <c r="AF24" s="12"/>
      <c r="AG24" s="12">
        <v>2</v>
      </c>
      <c r="AH24" s="12">
        <v>2</v>
      </c>
      <c r="AI24" s="12">
        <v>1</v>
      </c>
      <c r="AJ24" s="12"/>
      <c r="AK24" s="12"/>
      <c r="AL24" s="12"/>
      <c r="AM24" s="15">
        <f t="shared" si="1"/>
        <v>45</v>
      </c>
      <c r="AN24" s="16"/>
      <c r="AO24" s="16"/>
      <c r="AP24" s="78">
        <f t="shared" si="0"/>
        <v>5</v>
      </c>
      <c r="AQ24" s="5"/>
    </row>
    <row r="25" spans="1:43" x14ac:dyDescent="0.25">
      <c r="A25" s="18">
        <v>18</v>
      </c>
      <c r="B25" s="26"/>
      <c r="C25" s="19"/>
      <c r="D25" s="53">
        <v>303988</v>
      </c>
      <c r="E25" s="54">
        <v>11224059576</v>
      </c>
      <c r="F25" s="21" t="s">
        <v>60</v>
      </c>
      <c r="G25" s="20" t="s">
        <v>16</v>
      </c>
      <c r="H25" s="12"/>
      <c r="I25" s="12"/>
      <c r="J25" s="12"/>
      <c r="K25" s="12"/>
      <c r="L25" s="12">
        <v>2</v>
      </c>
      <c r="M25" s="12">
        <v>2</v>
      </c>
      <c r="N25" s="12">
        <v>2</v>
      </c>
      <c r="O25" s="12">
        <v>2</v>
      </c>
      <c r="P25" s="12">
        <v>2</v>
      </c>
      <c r="Q25" s="12">
        <v>5</v>
      </c>
      <c r="R25" s="12">
        <v>5</v>
      </c>
      <c r="S25" s="12">
        <v>2</v>
      </c>
      <c r="T25" s="12">
        <v>2</v>
      </c>
      <c r="U25" s="12">
        <v>2</v>
      </c>
      <c r="V25" s="12">
        <v>2</v>
      </c>
      <c r="W25" s="12">
        <v>2</v>
      </c>
      <c r="X25" s="12"/>
      <c r="Y25" s="12"/>
      <c r="Z25" s="12">
        <v>2</v>
      </c>
      <c r="AA25" s="12">
        <v>2</v>
      </c>
      <c r="AB25" s="12">
        <v>2</v>
      </c>
      <c r="AC25" s="12">
        <v>2</v>
      </c>
      <c r="AD25" s="12">
        <v>2</v>
      </c>
      <c r="AE25" s="12"/>
      <c r="AF25" s="12"/>
      <c r="AG25" s="12">
        <v>2</v>
      </c>
      <c r="AH25" s="12">
        <v>2</v>
      </c>
      <c r="AI25" s="12">
        <v>1</v>
      </c>
      <c r="AJ25" s="12"/>
      <c r="AK25" s="12"/>
      <c r="AL25" s="12"/>
      <c r="AM25" s="15">
        <f t="shared" si="1"/>
        <v>45</v>
      </c>
      <c r="AN25" s="16"/>
      <c r="AO25" s="16"/>
      <c r="AP25" s="78">
        <f t="shared" si="0"/>
        <v>5</v>
      </c>
      <c r="AQ25" s="5"/>
    </row>
    <row r="26" spans="1:43" x14ac:dyDescent="0.25">
      <c r="A26" s="18">
        <v>19</v>
      </c>
      <c r="B26" s="26"/>
      <c r="C26" s="19"/>
      <c r="D26" s="53">
        <v>221713</v>
      </c>
      <c r="E26" s="54">
        <v>20510328180</v>
      </c>
      <c r="F26" s="21" t="s">
        <v>61</v>
      </c>
      <c r="G26" s="20" t="s">
        <v>16</v>
      </c>
      <c r="H26" s="12"/>
      <c r="I26" s="12"/>
      <c r="J26" s="12"/>
      <c r="K26" s="12"/>
      <c r="L26" s="12">
        <v>2</v>
      </c>
      <c r="M26" s="12">
        <v>2</v>
      </c>
      <c r="N26" s="12">
        <v>2</v>
      </c>
      <c r="O26" s="12">
        <v>2</v>
      </c>
      <c r="P26" s="12">
        <v>2</v>
      </c>
      <c r="Q26" s="12">
        <v>5</v>
      </c>
      <c r="R26" s="12">
        <v>5</v>
      </c>
      <c r="S26" s="12">
        <v>2</v>
      </c>
      <c r="T26" s="12">
        <v>2</v>
      </c>
      <c r="U26" s="12">
        <v>2</v>
      </c>
      <c r="V26" s="12">
        <v>2</v>
      </c>
      <c r="W26" s="12">
        <v>2</v>
      </c>
      <c r="X26" s="12"/>
      <c r="Y26" s="12"/>
      <c r="Z26" s="12">
        <v>2</v>
      </c>
      <c r="AA26" s="12">
        <v>2</v>
      </c>
      <c r="AB26" s="12">
        <v>2</v>
      </c>
      <c r="AC26" s="12">
        <v>2</v>
      </c>
      <c r="AD26" s="12">
        <v>2</v>
      </c>
      <c r="AE26" s="12"/>
      <c r="AF26" s="12"/>
      <c r="AG26" s="12">
        <v>2</v>
      </c>
      <c r="AH26" s="12">
        <v>2</v>
      </c>
      <c r="AI26" s="12"/>
      <c r="AJ26" s="12"/>
      <c r="AK26" s="12"/>
      <c r="AL26" s="12"/>
      <c r="AM26" s="15">
        <f t="shared" si="1"/>
        <v>44</v>
      </c>
      <c r="AN26" s="16"/>
      <c r="AO26" s="16"/>
      <c r="AP26" s="78">
        <f t="shared" si="0"/>
        <v>6</v>
      </c>
      <c r="AQ26" s="5"/>
    </row>
    <row r="27" spans="1:43" x14ac:dyDescent="0.25">
      <c r="A27" s="18">
        <v>20</v>
      </c>
      <c r="B27" s="26"/>
      <c r="C27" s="19"/>
      <c r="D27" s="53">
        <v>304692</v>
      </c>
      <c r="E27" s="54">
        <v>40012025004</v>
      </c>
      <c r="F27" s="21" t="s">
        <v>62</v>
      </c>
      <c r="G27" s="20" t="s">
        <v>16</v>
      </c>
      <c r="H27" s="12"/>
      <c r="I27" s="12"/>
      <c r="J27" s="12"/>
      <c r="K27" s="12"/>
      <c r="L27" s="12">
        <v>2</v>
      </c>
      <c r="M27" s="12">
        <v>2</v>
      </c>
      <c r="N27" s="12">
        <v>2</v>
      </c>
      <c r="O27" s="12">
        <v>2</v>
      </c>
      <c r="P27" s="12">
        <v>2</v>
      </c>
      <c r="Q27" s="12">
        <v>5</v>
      </c>
      <c r="R27" s="12">
        <v>5</v>
      </c>
      <c r="S27" s="12">
        <v>2</v>
      </c>
      <c r="T27" s="12">
        <v>2</v>
      </c>
      <c r="U27" s="12">
        <v>2</v>
      </c>
      <c r="V27" s="12">
        <v>2</v>
      </c>
      <c r="W27" s="12">
        <v>2</v>
      </c>
      <c r="X27" s="12"/>
      <c r="Y27" s="12"/>
      <c r="Z27" s="12">
        <v>2</v>
      </c>
      <c r="AA27" s="12">
        <v>2</v>
      </c>
      <c r="AB27" s="12">
        <v>2</v>
      </c>
      <c r="AC27" s="12">
        <v>2</v>
      </c>
      <c r="AD27" s="12">
        <v>2</v>
      </c>
      <c r="AE27" s="12"/>
      <c r="AF27" s="12"/>
      <c r="AG27" s="12">
        <v>2</v>
      </c>
      <c r="AH27" s="12">
        <v>2</v>
      </c>
      <c r="AI27" s="12">
        <v>1</v>
      </c>
      <c r="AJ27" s="12"/>
      <c r="AK27" s="12"/>
      <c r="AL27" s="12"/>
      <c r="AM27" s="15">
        <f t="shared" si="1"/>
        <v>45</v>
      </c>
      <c r="AN27" s="16"/>
      <c r="AO27" s="16"/>
      <c r="AP27" s="78">
        <f t="shared" si="0"/>
        <v>5</v>
      </c>
      <c r="AQ27" s="5"/>
    </row>
    <row r="28" spans="1:43" x14ac:dyDescent="0.25">
      <c r="A28" s="18">
        <v>21</v>
      </c>
      <c r="B28" s="26"/>
      <c r="C28" s="19"/>
      <c r="D28" s="74">
        <v>188116</v>
      </c>
      <c r="E28" s="75">
        <v>15823126110</v>
      </c>
      <c r="F28" s="21" t="s">
        <v>63</v>
      </c>
      <c r="G28" s="20" t="s">
        <v>16</v>
      </c>
      <c r="H28" s="12"/>
      <c r="I28" s="12"/>
      <c r="J28" s="12"/>
      <c r="K28" s="12"/>
      <c r="L28" s="12">
        <v>2</v>
      </c>
      <c r="M28" s="12">
        <v>2</v>
      </c>
      <c r="N28" s="12">
        <v>2</v>
      </c>
      <c r="O28" s="12">
        <v>2</v>
      </c>
      <c r="P28" s="12">
        <v>2</v>
      </c>
      <c r="Q28" s="12">
        <v>5</v>
      </c>
      <c r="R28" s="12">
        <v>5</v>
      </c>
      <c r="S28" s="12">
        <v>2</v>
      </c>
      <c r="T28" s="12">
        <v>2</v>
      </c>
      <c r="U28" s="12">
        <v>2</v>
      </c>
      <c r="V28" s="12">
        <v>2</v>
      </c>
      <c r="W28" s="12">
        <v>2</v>
      </c>
      <c r="X28" s="12"/>
      <c r="Y28" s="12"/>
      <c r="Z28" s="12">
        <v>2</v>
      </c>
      <c r="AA28" s="12">
        <v>2</v>
      </c>
      <c r="AB28" s="12">
        <v>2</v>
      </c>
      <c r="AC28" s="12">
        <v>2</v>
      </c>
      <c r="AD28" s="12">
        <v>2</v>
      </c>
      <c r="AE28" s="12"/>
      <c r="AF28" s="12"/>
      <c r="AG28" s="12">
        <v>2</v>
      </c>
      <c r="AH28" s="12">
        <v>2</v>
      </c>
      <c r="AI28" s="12">
        <v>1</v>
      </c>
      <c r="AJ28" s="12"/>
      <c r="AK28" s="12"/>
      <c r="AL28" s="12"/>
      <c r="AM28" s="15">
        <f t="shared" si="1"/>
        <v>45</v>
      </c>
      <c r="AN28" s="16"/>
      <c r="AO28" s="16"/>
      <c r="AP28" s="78">
        <f t="shared" si="0"/>
        <v>5</v>
      </c>
      <c r="AQ28" s="5"/>
    </row>
    <row r="29" spans="1:43" x14ac:dyDescent="0.25">
      <c r="A29" s="18">
        <v>22</v>
      </c>
      <c r="B29" s="26"/>
      <c r="C29" s="19"/>
      <c r="D29" s="74">
        <v>304709</v>
      </c>
      <c r="E29" s="75">
        <v>28136517698</v>
      </c>
      <c r="F29" s="21" t="s">
        <v>64</v>
      </c>
      <c r="G29" s="20" t="s">
        <v>16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5">
        <f t="shared" si="1"/>
        <v>0</v>
      </c>
      <c r="AN29" s="16"/>
      <c r="AO29" s="16"/>
      <c r="AP29" s="78">
        <f t="shared" si="0"/>
        <v>50</v>
      </c>
      <c r="AQ29" s="5"/>
    </row>
    <row r="30" spans="1:43" x14ac:dyDescent="0.25">
      <c r="A30" s="18">
        <v>23</v>
      </c>
      <c r="B30" s="26"/>
      <c r="C30" s="19"/>
      <c r="D30" s="75">
        <v>48039</v>
      </c>
      <c r="E30" s="75">
        <v>22214302220</v>
      </c>
      <c r="F30" s="21" t="s">
        <v>66</v>
      </c>
      <c r="G30" s="20" t="s">
        <v>16</v>
      </c>
      <c r="H30" s="12"/>
      <c r="I30" s="12"/>
      <c r="J30" s="12"/>
      <c r="K30" s="12"/>
      <c r="L30" s="12"/>
      <c r="M30" s="12"/>
      <c r="N30" s="12"/>
      <c r="O30" s="12"/>
      <c r="P30" s="12"/>
      <c r="Q30" s="12">
        <v>5</v>
      </c>
      <c r="R30" s="12">
        <v>5</v>
      </c>
      <c r="S30" s="12">
        <v>2</v>
      </c>
      <c r="T30" s="12">
        <v>2</v>
      </c>
      <c r="U30" s="12">
        <v>2</v>
      </c>
      <c r="V30" s="12">
        <v>2</v>
      </c>
      <c r="W30" s="12">
        <v>2</v>
      </c>
      <c r="X30" s="12">
        <v>5</v>
      </c>
      <c r="Y30" s="12"/>
      <c r="Z30" s="12">
        <v>2</v>
      </c>
      <c r="AA30" s="12">
        <v>2</v>
      </c>
      <c r="AB30" s="12">
        <v>2</v>
      </c>
      <c r="AC30" s="12">
        <v>2</v>
      </c>
      <c r="AD30" s="12">
        <v>2</v>
      </c>
      <c r="AE30" s="12"/>
      <c r="AF30" s="12"/>
      <c r="AG30" s="12">
        <v>2</v>
      </c>
      <c r="AH30" s="12">
        <v>2</v>
      </c>
      <c r="AI30" s="12">
        <v>2</v>
      </c>
      <c r="AJ30" s="12">
        <v>2</v>
      </c>
      <c r="AK30" s="12">
        <v>2</v>
      </c>
      <c r="AL30" s="12"/>
      <c r="AM30" s="15">
        <f t="shared" si="1"/>
        <v>45</v>
      </c>
      <c r="AN30" s="16"/>
      <c r="AO30" s="16"/>
      <c r="AP30" s="78">
        <f t="shared" si="0"/>
        <v>5</v>
      </c>
      <c r="AQ30" s="5"/>
    </row>
    <row r="31" spans="1:43" x14ac:dyDescent="0.25">
      <c r="A31" s="18">
        <v>24</v>
      </c>
      <c r="B31" s="26"/>
      <c r="C31" s="19"/>
      <c r="D31" s="74">
        <v>181079</v>
      </c>
      <c r="E31" s="75">
        <v>17890869334</v>
      </c>
      <c r="F31" s="21" t="s">
        <v>67</v>
      </c>
      <c r="G31" s="20" t="s">
        <v>16</v>
      </c>
      <c r="H31" s="12"/>
      <c r="I31" s="12"/>
      <c r="J31" s="12"/>
      <c r="K31" s="12"/>
      <c r="L31" s="12">
        <v>2</v>
      </c>
      <c r="M31" s="12">
        <v>2</v>
      </c>
      <c r="N31" s="12">
        <v>2</v>
      </c>
      <c r="O31" s="12">
        <v>2</v>
      </c>
      <c r="P31" s="12">
        <v>2</v>
      </c>
      <c r="Q31" s="12">
        <v>5</v>
      </c>
      <c r="R31" s="12">
        <v>5</v>
      </c>
      <c r="S31" s="12">
        <v>2</v>
      </c>
      <c r="T31" s="12">
        <v>2</v>
      </c>
      <c r="U31" s="12">
        <v>2</v>
      </c>
      <c r="V31" s="12">
        <v>2</v>
      </c>
      <c r="W31" s="12">
        <v>2</v>
      </c>
      <c r="X31" s="12"/>
      <c r="Y31" s="12"/>
      <c r="Z31" s="12">
        <v>2</v>
      </c>
      <c r="AA31" s="12">
        <v>2</v>
      </c>
      <c r="AB31" s="12">
        <v>2</v>
      </c>
      <c r="AC31" s="12">
        <v>2</v>
      </c>
      <c r="AD31" s="12">
        <v>2</v>
      </c>
      <c r="AE31" s="12"/>
      <c r="AF31" s="12"/>
      <c r="AG31" s="12">
        <v>2</v>
      </c>
      <c r="AH31" s="12">
        <v>2</v>
      </c>
      <c r="AI31" s="12">
        <v>1</v>
      </c>
      <c r="AJ31" s="12"/>
      <c r="AK31" s="12"/>
      <c r="AL31" s="12"/>
      <c r="AM31" s="15">
        <f t="shared" si="1"/>
        <v>45</v>
      </c>
      <c r="AN31" s="16"/>
      <c r="AO31" s="16"/>
      <c r="AP31" s="78">
        <f t="shared" si="0"/>
        <v>5</v>
      </c>
      <c r="AQ31" s="5"/>
    </row>
    <row r="32" spans="1:43" x14ac:dyDescent="0.25">
      <c r="A32" s="18">
        <v>25</v>
      </c>
      <c r="B32" s="26"/>
      <c r="C32" s="19"/>
      <c r="D32" s="75">
        <v>287462</v>
      </c>
      <c r="E32" s="75">
        <v>32113696764</v>
      </c>
      <c r="F32" s="21" t="s">
        <v>68</v>
      </c>
      <c r="G32" s="20" t="s">
        <v>16</v>
      </c>
      <c r="H32" s="12"/>
      <c r="I32" s="12"/>
      <c r="J32" s="12"/>
      <c r="K32" s="12"/>
      <c r="L32" s="12">
        <v>2</v>
      </c>
      <c r="M32" s="12">
        <v>2</v>
      </c>
      <c r="N32" s="12">
        <v>2</v>
      </c>
      <c r="O32" s="12">
        <v>2</v>
      </c>
      <c r="P32" s="12">
        <v>2</v>
      </c>
      <c r="Q32" s="12">
        <v>5</v>
      </c>
      <c r="R32" s="12">
        <v>5</v>
      </c>
      <c r="S32" s="12">
        <v>2</v>
      </c>
      <c r="T32" s="12">
        <v>2</v>
      </c>
      <c r="U32" s="12">
        <v>1</v>
      </c>
      <c r="V32" s="12"/>
      <c r="W32" s="12"/>
      <c r="X32" s="12"/>
      <c r="Y32" s="12"/>
      <c r="Z32" s="12">
        <v>2</v>
      </c>
      <c r="AA32" s="12">
        <v>2</v>
      </c>
      <c r="AB32" s="12">
        <v>2</v>
      </c>
      <c r="AC32" s="12">
        <v>2</v>
      </c>
      <c r="AD32" s="12">
        <v>2</v>
      </c>
      <c r="AE32" s="12"/>
      <c r="AF32" s="12"/>
      <c r="AG32" s="12">
        <v>2</v>
      </c>
      <c r="AH32" s="12">
        <v>2</v>
      </c>
      <c r="AI32" s="12">
        <v>2</v>
      </c>
      <c r="AJ32" s="12">
        <v>2</v>
      </c>
      <c r="AK32" s="12">
        <v>2</v>
      </c>
      <c r="AL32" s="12"/>
      <c r="AM32" s="15">
        <f t="shared" si="1"/>
        <v>45</v>
      </c>
      <c r="AN32" s="16"/>
      <c r="AO32" s="16"/>
      <c r="AP32" s="78">
        <f t="shared" si="0"/>
        <v>5</v>
      </c>
      <c r="AQ32" s="5"/>
    </row>
    <row r="33" spans="1:43" x14ac:dyDescent="0.25">
      <c r="A33" s="18">
        <v>26</v>
      </c>
      <c r="B33" s="26"/>
      <c r="C33" s="19"/>
      <c r="D33" s="75">
        <v>287462</v>
      </c>
      <c r="E33" s="75">
        <v>32113696764</v>
      </c>
      <c r="F33" s="21" t="s">
        <v>69</v>
      </c>
      <c r="G33" s="20" t="s">
        <v>16</v>
      </c>
      <c r="H33" s="12"/>
      <c r="I33" s="12"/>
      <c r="J33" s="12"/>
      <c r="K33" s="12"/>
      <c r="L33" s="12">
        <v>2</v>
      </c>
      <c r="M33" s="12">
        <v>2</v>
      </c>
      <c r="N33" s="12">
        <v>2</v>
      </c>
      <c r="O33" s="12">
        <v>2</v>
      </c>
      <c r="P33" s="12">
        <v>2</v>
      </c>
      <c r="Q33" s="12">
        <v>5</v>
      </c>
      <c r="R33" s="12">
        <v>5</v>
      </c>
      <c r="S33" s="12">
        <v>2</v>
      </c>
      <c r="T33" s="12">
        <v>2</v>
      </c>
      <c r="U33" s="12">
        <v>2</v>
      </c>
      <c r="V33" s="12">
        <v>2</v>
      </c>
      <c r="W33" s="12">
        <v>2</v>
      </c>
      <c r="X33" s="12"/>
      <c r="Y33" s="12"/>
      <c r="Z33" s="12">
        <v>2</v>
      </c>
      <c r="AA33" s="12">
        <v>2</v>
      </c>
      <c r="AB33" s="12">
        <v>2</v>
      </c>
      <c r="AC33" s="12">
        <v>2</v>
      </c>
      <c r="AD33" s="12">
        <v>2</v>
      </c>
      <c r="AE33" s="12"/>
      <c r="AF33" s="12"/>
      <c r="AG33" s="12">
        <v>2</v>
      </c>
      <c r="AH33" s="12">
        <v>2</v>
      </c>
      <c r="AI33" s="12">
        <v>1</v>
      </c>
      <c r="AJ33" s="12"/>
      <c r="AK33" s="12"/>
      <c r="AL33" s="12"/>
      <c r="AM33" s="15">
        <f t="shared" si="1"/>
        <v>45</v>
      </c>
      <c r="AN33" s="16"/>
      <c r="AO33" s="16"/>
      <c r="AP33" s="78">
        <f t="shared" si="0"/>
        <v>5</v>
      </c>
      <c r="AQ33" s="5"/>
    </row>
    <row r="34" spans="1:43" x14ac:dyDescent="0.25">
      <c r="A34" s="18">
        <v>27</v>
      </c>
      <c r="B34" s="26"/>
      <c r="C34" s="19"/>
      <c r="D34" s="74">
        <v>47414</v>
      </c>
      <c r="E34" s="76">
        <v>29131003278</v>
      </c>
      <c r="F34" s="21" t="s">
        <v>70</v>
      </c>
      <c r="G34" s="20" t="s">
        <v>16</v>
      </c>
      <c r="H34" s="12"/>
      <c r="I34" s="12"/>
      <c r="J34" s="12"/>
      <c r="K34" s="12"/>
      <c r="L34" s="12">
        <v>2</v>
      </c>
      <c r="M34" s="12">
        <v>2</v>
      </c>
      <c r="N34" s="12">
        <v>2</v>
      </c>
      <c r="O34" s="12">
        <v>2</v>
      </c>
      <c r="P34" s="12">
        <v>2</v>
      </c>
      <c r="Q34" s="12">
        <v>5</v>
      </c>
      <c r="R34" s="12">
        <v>5</v>
      </c>
      <c r="S34" s="12">
        <v>2</v>
      </c>
      <c r="T34" s="12">
        <v>2</v>
      </c>
      <c r="U34" s="12">
        <v>2</v>
      </c>
      <c r="V34" s="12">
        <v>2</v>
      </c>
      <c r="W34" s="12">
        <v>2</v>
      </c>
      <c r="X34" s="12"/>
      <c r="Y34" s="12"/>
      <c r="Z34" s="12">
        <v>2</v>
      </c>
      <c r="AA34" s="12">
        <v>2</v>
      </c>
      <c r="AB34" s="12">
        <v>2</v>
      </c>
      <c r="AC34" s="12">
        <v>2</v>
      </c>
      <c r="AD34" s="12">
        <v>2</v>
      </c>
      <c r="AE34" s="12"/>
      <c r="AF34" s="12"/>
      <c r="AG34" s="12">
        <v>2</v>
      </c>
      <c r="AH34" s="12">
        <v>2</v>
      </c>
      <c r="AI34" s="12">
        <v>1</v>
      </c>
      <c r="AJ34" s="12"/>
      <c r="AK34" s="12"/>
      <c r="AL34" s="12"/>
      <c r="AM34" s="15">
        <f t="shared" si="1"/>
        <v>45</v>
      </c>
      <c r="AN34" s="16"/>
      <c r="AO34" s="16"/>
      <c r="AP34" s="78">
        <f t="shared" si="0"/>
        <v>5</v>
      </c>
      <c r="AQ34" s="5"/>
    </row>
    <row r="35" spans="1:43" x14ac:dyDescent="0.25">
      <c r="A35" s="18">
        <v>28</v>
      </c>
      <c r="B35" s="26"/>
      <c r="C35" s="19"/>
      <c r="D35" s="54">
        <v>287487</v>
      </c>
      <c r="E35" s="54">
        <v>38095704534</v>
      </c>
      <c r="F35" s="21" t="s">
        <v>72</v>
      </c>
      <c r="G35" s="20" t="s">
        <v>16</v>
      </c>
      <c r="H35" s="12"/>
      <c r="I35" s="12"/>
      <c r="J35" s="12"/>
      <c r="K35" s="12"/>
      <c r="L35" s="12">
        <v>2</v>
      </c>
      <c r="M35" s="12">
        <v>2</v>
      </c>
      <c r="N35" s="12">
        <v>2</v>
      </c>
      <c r="O35" s="12">
        <v>2</v>
      </c>
      <c r="P35" s="12">
        <v>2</v>
      </c>
      <c r="Q35" s="12">
        <v>5</v>
      </c>
      <c r="R35" s="12">
        <v>5</v>
      </c>
      <c r="S35" s="12">
        <v>2</v>
      </c>
      <c r="T35" s="12">
        <v>2</v>
      </c>
      <c r="U35" s="12">
        <v>2</v>
      </c>
      <c r="V35" s="12">
        <v>2</v>
      </c>
      <c r="W35" s="12">
        <v>2</v>
      </c>
      <c r="X35" s="12"/>
      <c r="Y35" s="12"/>
      <c r="Z35" s="12"/>
      <c r="AA35" s="12"/>
      <c r="AB35" s="12">
        <v>1</v>
      </c>
      <c r="AC35" s="12">
        <v>2</v>
      </c>
      <c r="AD35" s="12">
        <v>2</v>
      </c>
      <c r="AE35" s="12"/>
      <c r="AF35" s="12"/>
      <c r="AG35" s="12">
        <v>2</v>
      </c>
      <c r="AH35" s="12">
        <v>2</v>
      </c>
      <c r="AI35" s="12">
        <v>2</v>
      </c>
      <c r="AJ35" s="12">
        <v>2</v>
      </c>
      <c r="AK35" s="12">
        <v>2</v>
      </c>
      <c r="AL35" s="12"/>
      <c r="AM35" s="15">
        <f t="shared" si="1"/>
        <v>45</v>
      </c>
      <c r="AN35" s="16"/>
      <c r="AO35" s="16"/>
      <c r="AP35" s="78">
        <f t="shared" si="0"/>
        <v>5</v>
      </c>
      <c r="AQ35" s="5"/>
    </row>
    <row r="36" spans="1:43" x14ac:dyDescent="0.25">
      <c r="A36" s="18">
        <v>29</v>
      </c>
      <c r="B36" s="26"/>
      <c r="C36" s="19"/>
      <c r="D36" s="54">
        <v>168950</v>
      </c>
      <c r="E36" s="54">
        <v>10672102032</v>
      </c>
      <c r="F36" s="21" t="s">
        <v>71</v>
      </c>
      <c r="G36" s="20" t="s">
        <v>16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5">
        <f t="shared" si="1"/>
        <v>0</v>
      </c>
      <c r="AN36" s="16"/>
      <c r="AO36" s="16"/>
      <c r="AP36" s="78"/>
      <c r="AQ36" s="5"/>
    </row>
    <row r="37" spans="1:43" x14ac:dyDescent="0.25">
      <c r="A37" s="18">
        <v>30</v>
      </c>
      <c r="B37" s="26"/>
      <c r="C37" s="19"/>
      <c r="D37" s="54">
        <v>48249</v>
      </c>
      <c r="E37" s="54">
        <v>27752424946</v>
      </c>
      <c r="F37" s="21" t="s">
        <v>58</v>
      </c>
      <c r="G37" s="20" t="s">
        <v>31</v>
      </c>
      <c r="H37" s="12"/>
      <c r="I37" s="12"/>
      <c r="J37" s="12"/>
      <c r="K37" s="12">
        <v>3</v>
      </c>
      <c r="L37" s="12">
        <v>2</v>
      </c>
      <c r="M37" s="12">
        <v>2</v>
      </c>
      <c r="N37" s="12">
        <v>2</v>
      </c>
      <c r="O37" s="12">
        <v>2</v>
      </c>
      <c r="P37" s="12">
        <v>2</v>
      </c>
      <c r="Q37" s="12">
        <v>5</v>
      </c>
      <c r="R37" s="12">
        <v>5</v>
      </c>
      <c r="S37" s="12">
        <v>2</v>
      </c>
      <c r="T37" s="12"/>
      <c r="U37" s="12"/>
      <c r="V37" s="12"/>
      <c r="W37" s="12"/>
      <c r="X37" s="12"/>
      <c r="Y37" s="12"/>
      <c r="Z37" s="12">
        <v>2</v>
      </c>
      <c r="AA37" s="12">
        <v>2</v>
      </c>
      <c r="AB37" s="12">
        <v>2</v>
      </c>
      <c r="AC37" s="12">
        <v>2</v>
      </c>
      <c r="AD37" s="12">
        <v>2</v>
      </c>
      <c r="AE37" s="12"/>
      <c r="AF37" s="12"/>
      <c r="AG37" s="12">
        <v>2</v>
      </c>
      <c r="AH37" s="12">
        <v>2</v>
      </c>
      <c r="AI37" s="12">
        <v>2</v>
      </c>
      <c r="AJ37" s="12">
        <v>2</v>
      </c>
      <c r="AK37" s="12">
        <v>2</v>
      </c>
      <c r="AL37" s="12"/>
      <c r="AM37" s="15">
        <f t="shared" si="1"/>
        <v>45</v>
      </c>
      <c r="AN37" s="16"/>
      <c r="AO37" s="16"/>
      <c r="AP37" s="78">
        <f t="shared" si="0"/>
        <v>5</v>
      </c>
      <c r="AQ37" s="5"/>
    </row>
    <row r="38" spans="1:43" x14ac:dyDescent="0.25">
      <c r="A38" s="18">
        <v>31</v>
      </c>
      <c r="B38" s="26"/>
      <c r="C38" s="19"/>
      <c r="D38" s="54">
        <v>208272</v>
      </c>
      <c r="E38" s="54">
        <v>59095481034</v>
      </c>
      <c r="F38" s="21" t="s">
        <v>59</v>
      </c>
      <c r="G38" s="20" t="s">
        <v>31</v>
      </c>
      <c r="H38" s="12"/>
      <c r="I38" s="12"/>
      <c r="J38" s="12"/>
      <c r="K38" s="12"/>
      <c r="L38" s="12">
        <v>2</v>
      </c>
      <c r="M38" s="12">
        <v>2</v>
      </c>
      <c r="N38" s="12">
        <v>2</v>
      </c>
      <c r="O38" s="12">
        <v>2</v>
      </c>
      <c r="P38" s="12">
        <v>2</v>
      </c>
      <c r="Q38" s="12">
        <v>5</v>
      </c>
      <c r="R38" s="12">
        <v>5</v>
      </c>
      <c r="S38" s="12">
        <v>2</v>
      </c>
      <c r="T38" s="12">
        <v>2</v>
      </c>
      <c r="U38" s="12">
        <v>2</v>
      </c>
      <c r="V38" s="12">
        <v>2</v>
      </c>
      <c r="W38" s="12">
        <v>2</v>
      </c>
      <c r="X38" s="12">
        <v>5</v>
      </c>
      <c r="Y38" s="12"/>
      <c r="Z38" s="12">
        <v>2</v>
      </c>
      <c r="AA38" s="12">
        <v>2</v>
      </c>
      <c r="AB38" s="12">
        <v>2</v>
      </c>
      <c r="AC38" s="12">
        <v>2</v>
      </c>
      <c r="AD38" s="12">
        <v>2</v>
      </c>
      <c r="AE38" s="12"/>
      <c r="AF38" s="12"/>
      <c r="AG38" s="12"/>
      <c r="AH38" s="12"/>
      <c r="AI38" s="12"/>
      <c r="AJ38" s="12"/>
      <c r="AK38" s="12"/>
      <c r="AL38" s="12"/>
      <c r="AM38" s="15">
        <f t="shared" si="1"/>
        <v>45</v>
      </c>
      <c r="AN38" s="16"/>
      <c r="AO38" s="16"/>
      <c r="AP38" s="78">
        <f t="shared" si="0"/>
        <v>5</v>
      </c>
      <c r="AQ38" s="5"/>
    </row>
    <row r="39" spans="1:43" x14ac:dyDescent="0.25">
      <c r="A39" s="18">
        <v>32</v>
      </c>
      <c r="B39" s="26"/>
      <c r="C39" s="19"/>
      <c r="D39" s="54">
        <v>271395</v>
      </c>
      <c r="E39" s="54">
        <v>31919154508</v>
      </c>
      <c r="F39" s="21" t="s">
        <v>65</v>
      </c>
      <c r="G39" s="20" t="s">
        <v>31</v>
      </c>
      <c r="H39" s="12"/>
      <c r="I39" s="12"/>
      <c r="J39" s="12"/>
      <c r="K39" s="12"/>
      <c r="L39" s="12">
        <v>2</v>
      </c>
      <c r="M39" s="12">
        <v>2</v>
      </c>
      <c r="N39" s="12">
        <v>2</v>
      </c>
      <c r="O39" s="12">
        <v>2</v>
      </c>
      <c r="P39" s="12">
        <v>2</v>
      </c>
      <c r="Q39" s="12">
        <v>5</v>
      </c>
      <c r="R39" s="12">
        <v>5</v>
      </c>
      <c r="S39" s="12">
        <v>2</v>
      </c>
      <c r="T39" s="12">
        <v>2</v>
      </c>
      <c r="U39" s="12">
        <v>2</v>
      </c>
      <c r="V39" s="12">
        <v>2</v>
      </c>
      <c r="W39" s="12">
        <v>2</v>
      </c>
      <c r="X39" s="12"/>
      <c r="Y39" s="12"/>
      <c r="Z39" s="12">
        <v>2</v>
      </c>
      <c r="AA39" s="12">
        <v>2</v>
      </c>
      <c r="AB39" s="12">
        <v>2</v>
      </c>
      <c r="AC39" s="12">
        <v>2</v>
      </c>
      <c r="AD39" s="12">
        <v>2</v>
      </c>
      <c r="AE39" s="12"/>
      <c r="AF39" s="12"/>
      <c r="AG39" s="12">
        <v>2</v>
      </c>
      <c r="AH39" s="12">
        <v>2</v>
      </c>
      <c r="AI39" s="12">
        <v>1</v>
      </c>
      <c r="AJ39" s="12"/>
      <c r="AK39" s="12"/>
      <c r="AL39" s="12"/>
      <c r="AM39" s="15">
        <f t="shared" si="1"/>
        <v>45</v>
      </c>
      <c r="AN39" s="16"/>
      <c r="AO39" s="16"/>
      <c r="AP39" s="78">
        <f t="shared" si="0"/>
        <v>5</v>
      </c>
      <c r="AQ39" s="5"/>
    </row>
    <row r="40" spans="1:43" x14ac:dyDescent="0.25">
      <c r="A40" s="18">
        <v>33</v>
      </c>
      <c r="B40" s="26"/>
      <c r="C40" s="19"/>
      <c r="D40" s="54">
        <v>48181</v>
      </c>
      <c r="E40" s="54">
        <v>12427088608</v>
      </c>
      <c r="F40" s="54" t="s">
        <v>81</v>
      </c>
      <c r="G40" s="79" t="s">
        <v>16</v>
      </c>
      <c r="H40" s="12">
        <v>5</v>
      </c>
      <c r="I40" s="12">
        <v>2</v>
      </c>
      <c r="J40" s="12"/>
      <c r="K40" s="12"/>
      <c r="L40" s="12"/>
      <c r="M40" s="12"/>
      <c r="N40" s="12"/>
      <c r="O40" s="12"/>
      <c r="P40" s="12"/>
      <c r="Q40" s="12">
        <v>5</v>
      </c>
      <c r="R40" s="12">
        <v>5</v>
      </c>
      <c r="S40" s="12">
        <v>2</v>
      </c>
      <c r="T40" s="12">
        <v>2</v>
      </c>
      <c r="U40" s="12">
        <v>2</v>
      </c>
      <c r="V40" s="12">
        <v>2</v>
      </c>
      <c r="W40" s="12">
        <v>2</v>
      </c>
      <c r="X40" s="12"/>
      <c r="Y40" s="12"/>
      <c r="Z40" s="12"/>
      <c r="AA40" s="12"/>
      <c r="AB40" s="12"/>
      <c r="AC40" s="12"/>
      <c r="AD40" s="12"/>
      <c r="AE40" s="12">
        <v>5</v>
      </c>
      <c r="AF40" s="12">
        <v>5</v>
      </c>
      <c r="AG40" s="12">
        <v>2</v>
      </c>
      <c r="AH40" s="12">
        <v>2</v>
      </c>
      <c r="AI40" s="12">
        <v>2</v>
      </c>
      <c r="AJ40" s="12">
        <v>2</v>
      </c>
      <c r="AK40" s="12"/>
      <c r="AL40" s="12"/>
      <c r="AM40" s="15">
        <f t="shared" si="1"/>
        <v>45</v>
      </c>
      <c r="AN40" s="16"/>
      <c r="AO40" s="16"/>
      <c r="AP40" s="78"/>
      <c r="AQ40" s="5"/>
    </row>
    <row r="41" spans="1:43" x14ac:dyDescent="0.25">
      <c r="A41" s="18">
        <v>34</v>
      </c>
      <c r="B41" s="26"/>
      <c r="C41" s="19"/>
      <c r="D41" s="54">
        <v>125837</v>
      </c>
      <c r="E41" s="54">
        <v>23699201800</v>
      </c>
      <c r="F41" s="21" t="s">
        <v>82</v>
      </c>
      <c r="G41" s="79" t="s">
        <v>16</v>
      </c>
      <c r="H41" s="12"/>
      <c r="I41" s="12"/>
      <c r="J41" s="12">
        <v>5</v>
      </c>
      <c r="K41" s="12">
        <v>5</v>
      </c>
      <c r="L41" s="12">
        <v>2</v>
      </c>
      <c r="M41" s="12">
        <v>2</v>
      </c>
      <c r="N41" s="12">
        <v>2</v>
      </c>
      <c r="O41" s="12">
        <v>2</v>
      </c>
      <c r="P41" s="12">
        <v>2</v>
      </c>
      <c r="Q41" s="12"/>
      <c r="R41" s="12"/>
      <c r="S41" s="12"/>
      <c r="T41" s="12"/>
      <c r="U41" s="12"/>
      <c r="V41" s="12"/>
      <c r="W41" s="12"/>
      <c r="X41" s="12">
        <v>5</v>
      </c>
      <c r="Y41" s="12">
        <v>5</v>
      </c>
      <c r="Z41" s="12">
        <v>2</v>
      </c>
      <c r="AA41" s="12">
        <v>2</v>
      </c>
      <c r="AB41" s="12">
        <v>2</v>
      </c>
      <c r="AC41" s="12">
        <v>2</v>
      </c>
      <c r="AD41" s="12">
        <v>2</v>
      </c>
      <c r="AE41" s="12"/>
      <c r="AF41" s="12"/>
      <c r="AG41" s="12"/>
      <c r="AH41" s="12"/>
      <c r="AI41" s="12"/>
      <c r="AJ41" s="12"/>
      <c r="AK41" s="12"/>
      <c r="AL41" s="12">
        <v>5</v>
      </c>
      <c r="AM41" s="15">
        <f t="shared" si="1"/>
        <v>45</v>
      </c>
      <c r="AN41" s="16"/>
      <c r="AO41" s="16"/>
      <c r="AP41" s="78"/>
      <c r="AQ41" s="5"/>
    </row>
    <row r="42" spans="1:43" x14ac:dyDescent="0.25">
      <c r="A42" s="18">
        <v>35</v>
      </c>
      <c r="B42" s="26"/>
      <c r="C42" s="19"/>
      <c r="D42" s="75">
        <v>155043</v>
      </c>
      <c r="E42" s="54">
        <v>24637954178</v>
      </c>
      <c r="F42" s="21" t="s">
        <v>83</v>
      </c>
      <c r="G42" s="79" t="s">
        <v>16</v>
      </c>
      <c r="H42" s="12"/>
      <c r="I42" s="12"/>
      <c r="J42" s="12">
        <v>5</v>
      </c>
      <c r="K42" s="12">
        <v>5</v>
      </c>
      <c r="L42" s="12">
        <v>2</v>
      </c>
      <c r="M42" s="12">
        <v>2</v>
      </c>
      <c r="N42" s="12">
        <v>2</v>
      </c>
      <c r="O42" s="12">
        <v>2</v>
      </c>
      <c r="P42" s="12">
        <v>2</v>
      </c>
      <c r="Q42" s="12"/>
      <c r="R42" s="12"/>
      <c r="S42" s="12"/>
      <c r="T42" s="12"/>
      <c r="U42" s="12"/>
      <c r="V42" s="12"/>
      <c r="W42" s="12"/>
      <c r="X42" s="12">
        <v>5</v>
      </c>
      <c r="Y42" s="12">
        <v>5</v>
      </c>
      <c r="Z42" s="12">
        <v>2</v>
      </c>
      <c r="AA42" s="12">
        <v>2</v>
      </c>
      <c r="AB42" s="12">
        <v>2</v>
      </c>
      <c r="AC42" s="12">
        <v>2</v>
      </c>
      <c r="AD42" s="12">
        <v>2</v>
      </c>
      <c r="AE42" s="12"/>
      <c r="AF42" s="12"/>
      <c r="AG42" s="12"/>
      <c r="AH42" s="12"/>
      <c r="AI42" s="12"/>
      <c r="AJ42" s="12"/>
      <c r="AK42" s="12"/>
      <c r="AL42" s="12">
        <v>5</v>
      </c>
      <c r="AM42" s="15">
        <f t="shared" si="1"/>
        <v>45</v>
      </c>
      <c r="AN42" s="16"/>
      <c r="AO42" s="16"/>
      <c r="AP42" s="78"/>
      <c r="AQ42" s="5"/>
    </row>
    <row r="43" spans="1:43" x14ac:dyDescent="0.25">
      <c r="A43" s="18">
        <v>36</v>
      </c>
      <c r="B43" s="26"/>
      <c r="C43" s="19"/>
      <c r="D43" s="75">
        <v>116479</v>
      </c>
      <c r="E43" s="54">
        <v>60505022976</v>
      </c>
      <c r="F43" s="21" t="s">
        <v>84</v>
      </c>
      <c r="G43" s="79" t="s">
        <v>16</v>
      </c>
      <c r="H43" s="12">
        <v>5</v>
      </c>
      <c r="I43" s="12">
        <v>2</v>
      </c>
      <c r="J43" s="12"/>
      <c r="K43" s="12"/>
      <c r="L43" s="12"/>
      <c r="M43" s="12"/>
      <c r="N43" s="12"/>
      <c r="O43" s="12"/>
      <c r="P43" s="12"/>
      <c r="Q43" s="12">
        <v>5</v>
      </c>
      <c r="R43" s="12">
        <v>5</v>
      </c>
      <c r="S43" s="12">
        <v>2</v>
      </c>
      <c r="T43" s="12">
        <v>2</v>
      </c>
      <c r="U43" s="12">
        <v>2</v>
      </c>
      <c r="V43" s="12">
        <v>2</v>
      </c>
      <c r="W43" s="12">
        <v>2</v>
      </c>
      <c r="X43" s="12"/>
      <c r="Y43" s="12"/>
      <c r="Z43" s="12"/>
      <c r="AA43" s="12"/>
      <c r="AB43" s="12"/>
      <c r="AC43" s="12"/>
      <c r="AD43" s="12"/>
      <c r="AE43" s="12">
        <v>5</v>
      </c>
      <c r="AF43" s="12">
        <v>5</v>
      </c>
      <c r="AG43" s="12">
        <v>2</v>
      </c>
      <c r="AH43" s="12">
        <v>2</v>
      </c>
      <c r="AI43" s="12">
        <v>2</v>
      </c>
      <c r="AJ43" s="12">
        <v>2</v>
      </c>
      <c r="AK43" s="12"/>
      <c r="AL43" s="12"/>
      <c r="AM43" s="15">
        <f t="shared" si="1"/>
        <v>45</v>
      </c>
      <c r="AN43" s="16"/>
      <c r="AO43" s="16"/>
      <c r="AP43" s="78"/>
      <c r="AQ43" s="5"/>
    </row>
    <row r="44" spans="1:43" x14ac:dyDescent="0.25">
      <c r="A44" s="18">
        <v>37</v>
      </c>
      <c r="B44" s="26"/>
      <c r="C44" s="19"/>
      <c r="D44" s="75">
        <v>210222</v>
      </c>
      <c r="E44" s="54">
        <v>10429440486</v>
      </c>
      <c r="F44" s="21" t="s">
        <v>75</v>
      </c>
      <c r="G44" s="20" t="s">
        <v>29</v>
      </c>
      <c r="H44" s="12"/>
      <c r="I44" s="12"/>
      <c r="J44" s="12"/>
      <c r="K44" s="12"/>
      <c r="L44" s="12">
        <v>2</v>
      </c>
      <c r="M44" s="12">
        <v>2</v>
      </c>
      <c r="N44" s="12">
        <v>2</v>
      </c>
      <c r="O44" s="12">
        <v>2</v>
      </c>
      <c r="P44" s="12">
        <v>2</v>
      </c>
      <c r="Q44" s="12">
        <v>5</v>
      </c>
      <c r="R44" s="12">
        <v>5</v>
      </c>
      <c r="S44" s="12">
        <v>2</v>
      </c>
      <c r="T44" s="12">
        <v>2</v>
      </c>
      <c r="U44" s="12">
        <v>2</v>
      </c>
      <c r="V44" s="12">
        <v>2</v>
      </c>
      <c r="W44" s="12">
        <v>2</v>
      </c>
      <c r="X44" s="12"/>
      <c r="Y44" s="12"/>
      <c r="Z44" s="12">
        <v>2</v>
      </c>
      <c r="AA44" s="12">
        <v>2</v>
      </c>
      <c r="AB44" s="12">
        <v>2</v>
      </c>
      <c r="AC44" s="12">
        <v>2</v>
      </c>
      <c r="AD44" s="12">
        <v>2</v>
      </c>
      <c r="AE44" s="12"/>
      <c r="AF44" s="12"/>
      <c r="AG44" s="12">
        <v>2</v>
      </c>
      <c r="AH44" s="12">
        <v>2</v>
      </c>
      <c r="AI44" s="12">
        <v>1</v>
      </c>
      <c r="AJ44" s="12"/>
      <c r="AK44" s="12"/>
      <c r="AL44" s="12"/>
      <c r="AM44" s="15">
        <f t="shared" si="1"/>
        <v>45</v>
      </c>
      <c r="AN44" s="16"/>
      <c r="AO44" s="16"/>
      <c r="AP44" s="78">
        <f t="shared" si="0"/>
        <v>5</v>
      </c>
      <c r="AQ44" s="5"/>
    </row>
    <row r="45" spans="1:43" x14ac:dyDescent="0.25">
      <c r="A45" s="18">
        <v>38</v>
      </c>
      <c r="B45" s="26"/>
      <c r="C45" s="19"/>
      <c r="D45" s="80">
        <v>229947</v>
      </c>
      <c r="E45" s="27">
        <v>25460594678</v>
      </c>
      <c r="F45" s="21" t="s">
        <v>76</v>
      </c>
      <c r="G45" s="20" t="s">
        <v>29</v>
      </c>
      <c r="H45" s="12"/>
      <c r="I45" s="12"/>
      <c r="J45" s="12"/>
      <c r="K45" s="12"/>
      <c r="L45" s="12">
        <v>2</v>
      </c>
      <c r="M45" s="12">
        <v>2</v>
      </c>
      <c r="N45" s="12">
        <v>2</v>
      </c>
      <c r="O45" s="12">
        <v>2</v>
      </c>
      <c r="P45" s="12">
        <v>2</v>
      </c>
      <c r="Q45" s="12">
        <v>5</v>
      </c>
      <c r="R45" s="12">
        <v>5</v>
      </c>
      <c r="S45" s="12">
        <v>2</v>
      </c>
      <c r="T45" s="12">
        <v>2</v>
      </c>
      <c r="U45" s="12">
        <v>2</v>
      </c>
      <c r="V45" s="12">
        <v>2</v>
      </c>
      <c r="W45" s="12">
        <v>2</v>
      </c>
      <c r="X45" s="12"/>
      <c r="Y45" s="12"/>
      <c r="Z45" s="12">
        <v>2</v>
      </c>
      <c r="AA45" s="12">
        <v>2</v>
      </c>
      <c r="AB45" s="12">
        <v>2</v>
      </c>
      <c r="AC45" s="12">
        <v>2</v>
      </c>
      <c r="AD45" s="12">
        <v>2</v>
      </c>
      <c r="AE45" s="12"/>
      <c r="AF45" s="12"/>
      <c r="AG45" s="12">
        <v>2</v>
      </c>
      <c r="AH45" s="12">
        <v>2</v>
      </c>
      <c r="AI45" s="12">
        <v>1</v>
      </c>
      <c r="AJ45" s="12"/>
      <c r="AK45" s="12"/>
      <c r="AL45" s="12"/>
      <c r="AM45" s="15">
        <f t="shared" si="1"/>
        <v>45</v>
      </c>
      <c r="AN45" s="16"/>
      <c r="AO45" s="16"/>
      <c r="AP45" s="78">
        <f t="shared" si="0"/>
        <v>5</v>
      </c>
      <c r="AQ45" s="5"/>
    </row>
    <row r="46" spans="1:43" x14ac:dyDescent="0.25">
      <c r="A46" s="9"/>
      <c r="B46" s="33"/>
      <c r="C46" s="33"/>
      <c r="D46" s="109" t="s">
        <v>7</v>
      </c>
      <c r="E46" s="109"/>
      <c r="F46" s="109"/>
      <c r="G46" s="66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  <c r="AK46" s="110"/>
      <c r="AL46" s="110"/>
      <c r="AM46" s="110"/>
      <c r="AN46" s="110"/>
      <c r="AO46" s="110"/>
    </row>
    <row r="47" spans="1:43" x14ac:dyDescent="0.25">
      <c r="A47" s="9"/>
      <c r="B47" s="33"/>
      <c r="C47" s="33"/>
      <c r="D47" s="115" t="s">
        <v>8</v>
      </c>
      <c r="E47" s="115"/>
      <c r="F47" s="115"/>
      <c r="G47" s="34"/>
      <c r="H47" s="110" t="s">
        <v>21</v>
      </c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  <c r="AO47" s="110"/>
    </row>
    <row r="48" spans="1:43" x14ac:dyDescent="0.25">
      <c r="A48" s="55" t="s">
        <v>21</v>
      </c>
      <c r="B48" s="35" t="s">
        <v>21</v>
      </c>
      <c r="C48" s="35" t="s">
        <v>21</v>
      </c>
      <c r="D48" s="35" t="s">
        <v>21</v>
      </c>
      <c r="E48" s="35" t="s">
        <v>21</v>
      </c>
      <c r="F48" s="36" t="s">
        <v>21</v>
      </c>
      <c r="G48" s="37"/>
      <c r="H48" s="37"/>
      <c r="I48" s="37"/>
      <c r="J48" s="37"/>
      <c r="K48" s="37"/>
      <c r="L48" s="111" t="s">
        <v>9</v>
      </c>
      <c r="M48" s="111"/>
      <c r="N48" s="111"/>
      <c r="O48" s="111"/>
      <c r="P48" s="111"/>
      <c r="Q48" s="111"/>
      <c r="R48" s="111"/>
      <c r="S48" s="111"/>
      <c r="T48" s="37"/>
      <c r="U48" s="37"/>
      <c r="V48" s="111"/>
      <c r="W48" s="111"/>
      <c r="X48" s="111"/>
      <c r="Y48" s="111"/>
      <c r="Z48" s="111"/>
      <c r="AA48" s="111"/>
      <c r="AB48" s="111"/>
      <c r="AC48" s="111"/>
      <c r="AE48" s="37"/>
      <c r="AF48" s="112" t="s">
        <v>10</v>
      </c>
      <c r="AG48" s="112"/>
      <c r="AH48" s="112"/>
      <c r="AI48" s="112"/>
      <c r="AJ48" s="112"/>
      <c r="AK48" s="112"/>
      <c r="AL48" s="112"/>
      <c r="AM48" s="112"/>
      <c r="AN48" s="112"/>
      <c r="AO48" s="112"/>
    </row>
    <row r="49" spans="1:41" x14ac:dyDescent="0.25">
      <c r="A49" s="55" t="s">
        <v>21</v>
      </c>
      <c r="B49" s="35" t="s">
        <v>21</v>
      </c>
      <c r="C49" s="35" t="s">
        <v>21</v>
      </c>
      <c r="D49" s="35" t="s">
        <v>21</v>
      </c>
      <c r="E49" s="35" t="s">
        <v>21</v>
      </c>
      <c r="F49" s="38"/>
      <c r="G49" s="39"/>
      <c r="H49" s="113" t="s">
        <v>11</v>
      </c>
      <c r="I49" s="113"/>
      <c r="J49" s="113"/>
      <c r="K49" s="113"/>
      <c r="L49" s="111" t="s">
        <v>36</v>
      </c>
      <c r="M49" s="111"/>
      <c r="N49" s="111"/>
      <c r="O49" s="111"/>
      <c r="P49" s="111"/>
      <c r="Q49" s="111"/>
      <c r="R49" s="111"/>
      <c r="S49" s="111"/>
      <c r="T49" s="37"/>
      <c r="U49" s="37"/>
      <c r="V49" s="111"/>
      <c r="W49" s="111"/>
      <c r="X49" s="111"/>
      <c r="Y49" s="111"/>
      <c r="Z49" s="111"/>
      <c r="AA49" s="111"/>
      <c r="AB49" s="111"/>
      <c r="AC49" s="111"/>
      <c r="AD49" s="37"/>
      <c r="AE49" s="37"/>
      <c r="AF49" s="114" t="s">
        <v>39</v>
      </c>
      <c r="AG49" s="114"/>
      <c r="AH49" s="114"/>
      <c r="AI49" s="114"/>
      <c r="AJ49" s="114"/>
      <c r="AK49" s="114"/>
      <c r="AL49" s="114"/>
      <c r="AM49" s="114"/>
      <c r="AN49" s="114"/>
      <c r="AO49" s="114"/>
    </row>
    <row r="50" spans="1:41" x14ac:dyDescent="0.25">
      <c r="A50" s="55"/>
      <c r="B50" s="35"/>
      <c r="C50" s="35"/>
      <c r="D50" s="35"/>
      <c r="E50" s="35"/>
      <c r="F50" s="38"/>
      <c r="G50" s="39"/>
      <c r="H50" s="113" t="s">
        <v>12</v>
      </c>
      <c r="I50" s="113"/>
      <c r="J50" s="113"/>
      <c r="K50" s="113"/>
      <c r="L50" s="111" t="s">
        <v>13</v>
      </c>
      <c r="M50" s="111"/>
      <c r="N50" s="111"/>
      <c r="O50" s="111"/>
      <c r="P50" s="111"/>
      <c r="Q50" s="111"/>
      <c r="R50" s="111"/>
      <c r="S50" s="111"/>
      <c r="T50" s="37"/>
      <c r="U50" s="37"/>
      <c r="V50" s="111"/>
      <c r="W50" s="111"/>
      <c r="X50" s="111"/>
      <c r="Y50" s="111"/>
      <c r="Z50" s="111"/>
      <c r="AA50" s="111"/>
      <c r="AB50" s="111"/>
      <c r="AC50" s="111"/>
      <c r="AD50" s="40"/>
      <c r="AE50" s="40"/>
      <c r="AF50" s="114" t="s">
        <v>35</v>
      </c>
      <c r="AG50" s="114"/>
      <c r="AH50" s="114"/>
      <c r="AI50" s="114"/>
      <c r="AJ50" s="114"/>
      <c r="AK50" s="114"/>
      <c r="AL50" s="114"/>
      <c r="AM50" s="114"/>
      <c r="AN50" s="114"/>
      <c r="AO50" s="114"/>
    </row>
    <row r="51" spans="1:41" x14ac:dyDescent="0.25">
      <c r="A51" s="55"/>
      <c r="B51" s="35"/>
      <c r="C51" s="35"/>
      <c r="D51" s="35"/>
      <c r="E51" s="35"/>
      <c r="F51" s="38"/>
      <c r="G51" s="39"/>
      <c r="H51" s="113" t="s">
        <v>15</v>
      </c>
      <c r="I51" s="113"/>
      <c r="J51" s="113"/>
      <c r="K51" s="113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41"/>
      <c r="W51" s="41"/>
      <c r="X51" s="30"/>
      <c r="Y51" s="30"/>
      <c r="Z51" s="30"/>
      <c r="AA51" s="30"/>
      <c r="AB51" s="30"/>
      <c r="AC51" s="30"/>
      <c r="AD51" s="30"/>
      <c r="AE51" s="30"/>
      <c r="AF51" s="30"/>
      <c r="AG51" s="41"/>
      <c r="AH51" s="41"/>
      <c r="AI51" s="41"/>
      <c r="AJ51" s="41"/>
      <c r="AK51" s="41"/>
      <c r="AL51" s="41"/>
      <c r="AM51" s="30"/>
      <c r="AN51" s="30"/>
      <c r="AO51" s="42"/>
    </row>
    <row r="52" spans="1:41" x14ac:dyDescent="0.25">
      <c r="A52" s="43"/>
      <c r="B52" s="44"/>
      <c r="C52" s="45"/>
      <c r="D52" s="46"/>
      <c r="E52" s="46"/>
      <c r="F52" s="47"/>
      <c r="G52" s="44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48"/>
    </row>
    <row r="54" spans="1:41" x14ac:dyDescent="0.25">
      <c r="D54" s="68"/>
      <c r="F54" s="68"/>
      <c r="G54" s="27"/>
      <c r="H54" s="27"/>
      <c r="I54" s="27"/>
      <c r="J54" s="27"/>
      <c r="K54" s="27"/>
      <c r="L54" s="27"/>
    </row>
    <row r="64" spans="1:41" x14ac:dyDescent="0.25">
      <c r="E64" s="73"/>
      <c r="G64" s="73"/>
      <c r="H64" s="73"/>
      <c r="I64" s="73"/>
      <c r="J64" s="73"/>
      <c r="K64" s="73"/>
      <c r="L64" s="73"/>
      <c r="M64" s="73"/>
    </row>
  </sheetData>
  <mergeCells count="24">
    <mergeCell ref="A1:AO2"/>
    <mergeCell ref="A4:C5"/>
    <mergeCell ref="D4:F4"/>
    <mergeCell ref="H4:AL5"/>
    <mergeCell ref="AM4:AO5"/>
    <mergeCell ref="D5:F5"/>
    <mergeCell ref="A6:E6"/>
    <mergeCell ref="H6:AL6"/>
    <mergeCell ref="D46:F46"/>
    <mergeCell ref="H46:AO46"/>
    <mergeCell ref="D47:F47"/>
    <mergeCell ref="H47:AO47"/>
    <mergeCell ref="L48:S48"/>
    <mergeCell ref="V48:AC48"/>
    <mergeCell ref="AF48:AO48"/>
    <mergeCell ref="H49:K49"/>
    <mergeCell ref="L49:S49"/>
    <mergeCell ref="V49:AC49"/>
    <mergeCell ref="AF49:AO49"/>
    <mergeCell ref="H50:K50"/>
    <mergeCell ref="L50:S50"/>
    <mergeCell ref="V50:AC50"/>
    <mergeCell ref="AF50:AO50"/>
    <mergeCell ref="H51:K51"/>
  </mergeCells>
  <printOptions horizontalCentered="1"/>
  <pageMargins left="0" right="0" top="0.31496062992125984" bottom="0.27559055118110237" header="0.51181102362204722" footer="0.51181102362204722"/>
  <pageSetup paperSize="9" scale="70" firstPageNumber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L43"/>
  <sheetViews>
    <sheetView topLeftCell="A3" workbookViewId="0">
      <selection activeCell="E8" sqref="E8"/>
    </sheetView>
  </sheetViews>
  <sheetFormatPr defaultRowHeight="15" x14ac:dyDescent="0.25"/>
  <cols>
    <col min="1" max="2" width="35.28515625" customWidth="1"/>
    <col min="3" max="4" width="9.140625" style="5"/>
    <col min="5" max="5" width="14.42578125" style="5" customWidth="1"/>
    <col min="6" max="16384" width="9.140625" style="5"/>
  </cols>
  <sheetData>
    <row r="1" spans="1:12" ht="63.75" customHeight="1" x14ac:dyDescent="0.3">
      <c r="A1" s="116" t="s">
        <v>28</v>
      </c>
      <c r="B1" s="117"/>
    </row>
    <row r="2" spans="1:12" ht="62.25" customHeight="1" x14ac:dyDescent="0.25">
      <c r="A2" s="118" t="s">
        <v>32</v>
      </c>
      <c r="B2" s="118"/>
    </row>
    <row r="3" spans="1:12" x14ac:dyDescent="0.25">
      <c r="A3" s="118" t="s">
        <v>33</v>
      </c>
      <c r="B3" s="118"/>
    </row>
    <row r="4" spans="1:12" x14ac:dyDescent="0.25">
      <c r="A4" s="2" t="s">
        <v>26</v>
      </c>
      <c r="B4" s="6" t="e">
        <f>#REF!</f>
        <v>#REF!</v>
      </c>
    </row>
    <row r="5" spans="1:12" x14ac:dyDescent="0.25">
      <c r="A5" s="2" t="s">
        <v>25</v>
      </c>
      <c r="B5" s="2" t="e">
        <f>#REF!</f>
        <v>#REF!</v>
      </c>
    </row>
    <row r="6" spans="1:12" x14ac:dyDescent="0.25">
      <c r="A6" s="2" t="s">
        <v>27</v>
      </c>
      <c r="B6" s="2" t="e">
        <f>#REF!</f>
        <v>#REF!</v>
      </c>
    </row>
    <row r="7" spans="1:12" x14ac:dyDescent="0.25">
      <c r="A7" s="3" t="s">
        <v>19</v>
      </c>
      <c r="B7" s="2" t="e">
        <f>#REF!</f>
        <v>#REF!</v>
      </c>
    </row>
    <row r="8" spans="1:12" ht="45" x14ac:dyDescent="0.25">
      <c r="A8" s="4" t="s">
        <v>22</v>
      </c>
      <c r="B8" s="4" t="s">
        <v>23</v>
      </c>
      <c r="D8" s="73">
        <v>181079</v>
      </c>
      <c r="E8" s="73">
        <v>17890869334</v>
      </c>
      <c r="F8" s="73" t="s">
        <v>77</v>
      </c>
      <c r="G8" s="73" t="s">
        <v>78</v>
      </c>
      <c r="H8" s="73" t="s">
        <v>79</v>
      </c>
      <c r="I8" s="73" t="s">
        <v>80</v>
      </c>
      <c r="J8" s="73"/>
      <c r="K8" s="73"/>
      <c r="L8" s="73"/>
    </row>
    <row r="9" spans="1:12" x14ac:dyDescent="0.25">
      <c r="A9" s="13">
        <v>44593</v>
      </c>
      <c r="B9" s="14" t="e">
        <f>#REF!</f>
        <v>#REF!</v>
      </c>
    </row>
    <row r="10" spans="1:12" s="7" customFormat="1" x14ac:dyDescent="0.25">
      <c r="A10" s="13">
        <v>44594</v>
      </c>
      <c r="B10" s="14" t="e">
        <f>#REF!</f>
        <v>#REF!</v>
      </c>
    </row>
    <row r="11" spans="1:12" s="7" customFormat="1" x14ac:dyDescent="0.25">
      <c r="A11" s="13">
        <v>44595</v>
      </c>
      <c r="B11" s="14" t="e">
        <f>#REF!</f>
        <v>#REF!</v>
      </c>
    </row>
    <row r="12" spans="1:12" x14ac:dyDescent="0.25">
      <c r="A12" s="13">
        <v>44596</v>
      </c>
      <c r="B12" s="14" t="e">
        <f>#REF!</f>
        <v>#REF!</v>
      </c>
    </row>
    <row r="13" spans="1:12" x14ac:dyDescent="0.25">
      <c r="A13" s="11">
        <v>44597</v>
      </c>
      <c r="B13" s="8" t="e">
        <f>#REF!</f>
        <v>#REF!</v>
      </c>
    </row>
    <row r="14" spans="1:12" x14ac:dyDescent="0.25">
      <c r="A14" s="11">
        <v>44598</v>
      </c>
      <c r="B14" s="8" t="e">
        <f>#REF!</f>
        <v>#REF!</v>
      </c>
    </row>
    <row r="15" spans="1:12" x14ac:dyDescent="0.25">
      <c r="A15" s="13">
        <v>44599</v>
      </c>
      <c r="B15" s="14" t="e">
        <f>#REF!</f>
        <v>#REF!</v>
      </c>
    </row>
    <row r="16" spans="1:1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43"/>
  <sheetViews>
    <sheetView topLeftCell="A6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B43"/>
  <sheetViews>
    <sheetView topLeftCell="A4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B43"/>
  <sheetViews>
    <sheetView topLeftCell="A10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horizontalDpi="4294967294" verticalDpi="4294967294" r:id="rId1"/>
  <headerFooter>
    <oddHeader>&amp;R&amp;A</oddHeader>
  </headerFooter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2" t="e">
        <f>#REF!</f>
        <v>#REF!</v>
      </c>
    </row>
    <row r="6" spans="1:2" x14ac:dyDescent="0.25">
      <c r="A6" s="2" t="s">
        <v>27</v>
      </c>
      <c r="B6" s="2" t="e">
        <f>#REF!</f>
        <v>#REF!</v>
      </c>
    </row>
    <row r="7" spans="1:2" x14ac:dyDescent="0.25">
      <c r="A7" s="3" t="s">
        <v>19</v>
      </c>
      <c r="B7" s="2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B43"/>
  <sheetViews>
    <sheetView topLeftCell="A2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B43"/>
  <sheetViews>
    <sheetView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B43"/>
  <sheetViews>
    <sheetView topLeftCell="A3" workbookViewId="0">
      <selection activeCell="B20" sqref="B20"/>
    </sheetView>
  </sheetViews>
  <sheetFormatPr defaultRowHeight="15" x14ac:dyDescent="0.25"/>
  <cols>
    <col min="1" max="2" width="35.28515625" customWidth="1"/>
    <col min="3" max="16384" width="9.140625" style="5"/>
  </cols>
  <sheetData>
    <row r="1" spans="1:2" ht="63.75" customHeight="1" x14ac:dyDescent="0.3">
      <c r="A1" s="116" t="s">
        <v>28</v>
      </c>
      <c r="B1" s="117"/>
    </row>
    <row r="2" spans="1:2" ht="62.25" customHeight="1" x14ac:dyDescent="0.25">
      <c r="A2" s="118" t="s">
        <v>32</v>
      </c>
      <c r="B2" s="118"/>
    </row>
    <row r="3" spans="1:2" x14ac:dyDescent="0.25">
      <c r="A3" s="118" t="s">
        <v>33</v>
      </c>
      <c r="B3" s="118"/>
    </row>
    <row r="4" spans="1:2" x14ac:dyDescent="0.25">
      <c r="A4" s="2" t="s">
        <v>26</v>
      </c>
      <c r="B4" s="6" t="e">
        <f>#REF!</f>
        <v>#REF!</v>
      </c>
    </row>
    <row r="5" spans="1:2" x14ac:dyDescent="0.25">
      <c r="A5" s="2" t="s">
        <v>25</v>
      </c>
      <c r="B5" s="6" t="e">
        <f>#REF!</f>
        <v>#REF!</v>
      </c>
    </row>
    <row r="6" spans="1:2" x14ac:dyDescent="0.25">
      <c r="A6" s="2" t="s">
        <v>27</v>
      </c>
      <c r="B6" s="6" t="e">
        <f>#REF!</f>
        <v>#REF!</v>
      </c>
    </row>
    <row r="7" spans="1:2" x14ac:dyDescent="0.25">
      <c r="A7" s="3" t="s">
        <v>19</v>
      </c>
      <c r="B7" s="6" t="e">
        <f>#REF!</f>
        <v>#REF!</v>
      </c>
    </row>
    <row r="8" spans="1:2" x14ac:dyDescent="0.25">
      <c r="A8" s="4" t="s">
        <v>22</v>
      </c>
      <c r="B8" s="4" t="s">
        <v>23</v>
      </c>
    </row>
    <row r="9" spans="1:2" x14ac:dyDescent="0.25">
      <c r="A9" s="13">
        <v>44593</v>
      </c>
      <c r="B9" s="14" t="e">
        <f>#REF!</f>
        <v>#REF!</v>
      </c>
    </row>
    <row r="10" spans="1:2" s="7" customFormat="1" x14ac:dyDescent="0.25">
      <c r="A10" s="13">
        <v>44594</v>
      </c>
      <c r="B10" s="14" t="e">
        <f>#REF!</f>
        <v>#REF!</v>
      </c>
    </row>
    <row r="11" spans="1:2" s="7" customFormat="1" x14ac:dyDescent="0.25">
      <c r="A11" s="13">
        <v>44595</v>
      </c>
      <c r="B11" s="14" t="e">
        <f>#REF!</f>
        <v>#REF!</v>
      </c>
    </row>
    <row r="12" spans="1:2" x14ac:dyDescent="0.25">
      <c r="A12" s="13">
        <v>44596</v>
      </c>
      <c r="B12" s="14" t="e">
        <f>#REF!</f>
        <v>#REF!</v>
      </c>
    </row>
    <row r="13" spans="1:2" x14ac:dyDescent="0.25">
      <c r="A13" s="11">
        <v>44597</v>
      </c>
      <c r="B13" s="8" t="e">
        <f>#REF!</f>
        <v>#REF!</v>
      </c>
    </row>
    <row r="14" spans="1:2" x14ac:dyDescent="0.25">
      <c r="A14" s="11">
        <v>44598</v>
      </c>
      <c r="B14" s="8" t="e">
        <f>#REF!</f>
        <v>#REF!</v>
      </c>
    </row>
    <row r="15" spans="1:2" x14ac:dyDescent="0.25">
      <c r="A15" s="13">
        <v>44599</v>
      </c>
      <c r="B15" s="14" t="e">
        <f>#REF!</f>
        <v>#REF!</v>
      </c>
    </row>
    <row r="16" spans="1:2" x14ac:dyDescent="0.25">
      <c r="A16" s="13">
        <v>44600</v>
      </c>
      <c r="B16" s="14" t="e">
        <f>#REF!</f>
        <v>#REF!</v>
      </c>
    </row>
    <row r="17" spans="1:2" s="7" customFormat="1" x14ac:dyDescent="0.25">
      <c r="A17" s="13">
        <v>44601</v>
      </c>
      <c r="B17" s="14" t="e">
        <f>#REF!</f>
        <v>#REF!</v>
      </c>
    </row>
    <row r="18" spans="1:2" s="7" customFormat="1" x14ac:dyDescent="0.25">
      <c r="A18" s="13">
        <v>44602</v>
      </c>
      <c r="B18" s="14" t="e">
        <f>#REF!</f>
        <v>#REF!</v>
      </c>
    </row>
    <row r="19" spans="1:2" x14ac:dyDescent="0.25">
      <c r="A19" s="13">
        <v>44603</v>
      </c>
      <c r="B19" s="14" t="e">
        <f>#REF!</f>
        <v>#REF!</v>
      </c>
    </row>
    <row r="20" spans="1:2" x14ac:dyDescent="0.25">
      <c r="A20" s="11">
        <v>44604</v>
      </c>
      <c r="B20" s="8" t="e">
        <f>#REF!</f>
        <v>#REF!</v>
      </c>
    </row>
    <row r="21" spans="1:2" x14ac:dyDescent="0.25">
      <c r="A21" s="11">
        <v>44605</v>
      </c>
      <c r="B21" s="8" t="e">
        <f>#REF!</f>
        <v>#REF!</v>
      </c>
    </row>
    <row r="22" spans="1:2" x14ac:dyDescent="0.25">
      <c r="A22" s="13">
        <v>44606</v>
      </c>
      <c r="B22" s="14" t="e">
        <f>#REF!</f>
        <v>#REF!</v>
      </c>
    </row>
    <row r="23" spans="1:2" x14ac:dyDescent="0.25">
      <c r="A23" s="13">
        <v>44607</v>
      </c>
      <c r="B23" s="14" t="e">
        <f>#REF!</f>
        <v>#REF!</v>
      </c>
    </row>
    <row r="24" spans="1:2" s="7" customFormat="1" x14ac:dyDescent="0.25">
      <c r="A24" s="13">
        <v>44608</v>
      </c>
      <c r="B24" s="14" t="e">
        <f>#REF!</f>
        <v>#REF!</v>
      </c>
    </row>
    <row r="25" spans="1:2" s="7" customFormat="1" x14ac:dyDescent="0.25">
      <c r="A25" s="13">
        <v>44609</v>
      </c>
      <c r="B25" s="14" t="e">
        <f>#REF!</f>
        <v>#REF!</v>
      </c>
    </row>
    <row r="26" spans="1:2" x14ac:dyDescent="0.25">
      <c r="A26" s="13">
        <v>44610</v>
      </c>
      <c r="B26" s="14" t="e">
        <f>#REF!</f>
        <v>#REF!</v>
      </c>
    </row>
    <row r="27" spans="1:2" x14ac:dyDescent="0.25">
      <c r="A27" s="11">
        <v>44611</v>
      </c>
      <c r="B27" s="8" t="e">
        <f>#REF!</f>
        <v>#REF!</v>
      </c>
    </row>
    <row r="28" spans="1:2" x14ac:dyDescent="0.25">
      <c r="A28" s="11">
        <v>44612</v>
      </c>
      <c r="B28" s="8" t="e">
        <f>#REF!</f>
        <v>#REF!</v>
      </c>
    </row>
    <row r="29" spans="1:2" x14ac:dyDescent="0.25">
      <c r="A29" s="13">
        <v>44613</v>
      </c>
      <c r="B29" s="14" t="e">
        <f>#REF!</f>
        <v>#REF!</v>
      </c>
    </row>
    <row r="30" spans="1:2" x14ac:dyDescent="0.25">
      <c r="A30" s="13">
        <v>44614</v>
      </c>
      <c r="B30" s="14" t="e">
        <f>#REF!</f>
        <v>#REF!</v>
      </c>
    </row>
    <row r="31" spans="1:2" s="7" customFormat="1" x14ac:dyDescent="0.25">
      <c r="A31" s="13">
        <v>44615</v>
      </c>
      <c r="B31" s="14" t="e">
        <f>#REF!</f>
        <v>#REF!</v>
      </c>
    </row>
    <row r="32" spans="1:2" s="7" customFormat="1" x14ac:dyDescent="0.25">
      <c r="A32" s="13">
        <v>44616</v>
      </c>
      <c r="B32" s="14" t="e">
        <f>#REF!</f>
        <v>#REF!</v>
      </c>
    </row>
    <row r="33" spans="1:2" x14ac:dyDescent="0.25">
      <c r="A33" s="13">
        <v>44617</v>
      </c>
      <c r="B33" s="14" t="e">
        <f>#REF!</f>
        <v>#REF!</v>
      </c>
    </row>
    <row r="34" spans="1:2" x14ac:dyDescent="0.25">
      <c r="A34" s="11">
        <v>44618</v>
      </c>
      <c r="B34" s="8" t="e">
        <f>#REF!</f>
        <v>#REF!</v>
      </c>
    </row>
    <row r="35" spans="1:2" x14ac:dyDescent="0.25">
      <c r="A35" s="11">
        <v>44619</v>
      </c>
      <c r="B35" s="8" t="e">
        <f>#REF!</f>
        <v>#REF!</v>
      </c>
    </row>
    <row r="36" spans="1:2" x14ac:dyDescent="0.25">
      <c r="A36" s="13">
        <v>44620</v>
      </c>
      <c r="B36" s="14" t="e">
        <f>#REF!</f>
        <v>#REF!</v>
      </c>
    </row>
    <row r="37" spans="1:2" x14ac:dyDescent="0.25">
      <c r="A37" s="13"/>
      <c r="B37" s="14"/>
    </row>
    <row r="38" spans="1:2" s="7" customFormat="1" x14ac:dyDescent="0.25">
      <c r="A38" s="13"/>
      <c r="B38" s="14"/>
    </row>
    <row r="39" spans="1:2" s="7" customFormat="1" x14ac:dyDescent="0.25">
      <c r="A39" s="13"/>
      <c r="B39" s="14"/>
    </row>
    <row r="40" spans="1:2" x14ac:dyDescent="0.25">
      <c r="A40" s="4" t="s">
        <v>24</v>
      </c>
      <c r="B40" s="4" t="e">
        <f>SUM(B9:B39)</f>
        <v>#REF!</v>
      </c>
    </row>
    <row r="42" spans="1:2" x14ac:dyDescent="0.25">
      <c r="A42" s="1"/>
      <c r="B42" s="1"/>
    </row>
    <row r="43" spans="1:2" x14ac:dyDescent="0.25">
      <c r="A43" s="1" t="s">
        <v>13</v>
      </c>
      <c r="B43" s="1" t="s">
        <v>14</v>
      </c>
    </row>
  </sheetData>
  <mergeCells count="3">
    <mergeCell ref="A1:B1"/>
    <mergeCell ref="A2:B2"/>
    <mergeCell ref="A3:B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4294967294" r:id="rId1"/>
  <headerFooter>
    <oddHeader>&amp;R&amp;A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16110</TotalTime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85</vt:i4>
      </vt:variant>
      <vt:variant>
        <vt:lpstr>Adlandırılmış Aralıklar</vt:lpstr>
      </vt:variant>
      <vt:variant>
        <vt:i4>42</vt:i4>
      </vt:variant>
    </vt:vector>
  </HeadingPairs>
  <TitlesOfParts>
    <vt:vector size="127" baseType="lpstr">
      <vt:lpstr>HAZİRAN-2026</vt:lpstr>
      <vt:lpstr>MAYIS-2026</vt:lpstr>
      <vt:lpstr>NİSAN 2026</vt:lpstr>
      <vt:lpstr>MART 2026</vt:lpstr>
      <vt:lpstr>ŞUBAT 2026</vt:lpstr>
      <vt:lpstr>OCAK 2026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75</vt:lpstr>
      <vt:lpstr>76</vt:lpstr>
      <vt:lpstr>77</vt:lpstr>
      <vt:lpstr>78</vt:lpstr>
      <vt:lpstr>79</vt:lpstr>
      <vt:lpstr>80</vt:lpstr>
      <vt:lpstr>81</vt:lpstr>
      <vt:lpstr>82</vt:lpstr>
      <vt:lpstr>83</vt:lpstr>
      <vt:lpstr>84</vt:lpstr>
      <vt:lpstr>85</vt:lpstr>
      <vt:lpstr>86</vt:lpstr>
      <vt:lpstr>87</vt:lpstr>
      <vt:lpstr>88</vt:lpstr>
      <vt:lpstr>89</vt:lpstr>
      <vt:lpstr>90</vt:lpstr>
      <vt:lpstr>91</vt:lpstr>
      <vt:lpstr>92</vt:lpstr>
      <vt:lpstr>93</vt:lpstr>
      <vt:lpstr>94</vt:lpstr>
      <vt:lpstr>95</vt:lpstr>
      <vt:lpstr>96</vt:lpstr>
      <vt:lpstr>97</vt:lpstr>
      <vt:lpstr>98</vt:lpstr>
      <vt:lpstr>99</vt:lpstr>
      <vt:lpstr>100</vt:lpstr>
      <vt:lpstr>'HAZİRAN-2026'!Print_Area_0</vt:lpstr>
      <vt:lpstr>'MART 2026'!Print_Area_0</vt:lpstr>
      <vt:lpstr>'MAYIS-2026'!Print_Area_0</vt:lpstr>
      <vt:lpstr>'NİSAN 2026'!Print_Area_0</vt:lpstr>
      <vt:lpstr>'OCAK 2026'!Print_Area_0</vt:lpstr>
      <vt:lpstr>'ŞUBAT 2026'!Print_Area_0</vt:lpstr>
      <vt:lpstr>'HAZİRAN-2026'!Print_Titles_0</vt:lpstr>
      <vt:lpstr>'MART 2026'!Print_Titles_0</vt:lpstr>
      <vt:lpstr>'MAYIS-2026'!Print_Titles_0</vt:lpstr>
      <vt:lpstr>'NİSAN 2026'!Print_Titles_0</vt:lpstr>
      <vt:lpstr>'OCAK 2026'!Print_Titles_0</vt:lpstr>
      <vt:lpstr>'ŞUBAT 2026'!Print_Titles_0</vt:lpstr>
      <vt:lpstr>'HAZİRAN-2026'!Print_Titles_0_0</vt:lpstr>
      <vt:lpstr>'MART 2026'!Print_Titles_0_0</vt:lpstr>
      <vt:lpstr>'MAYIS-2026'!Print_Titles_0_0</vt:lpstr>
      <vt:lpstr>'NİSAN 2026'!Print_Titles_0_0</vt:lpstr>
      <vt:lpstr>'OCAK 2026'!Print_Titles_0_0</vt:lpstr>
      <vt:lpstr>'ŞUBAT 2026'!Print_Titles_0_0</vt:lpstr>
      <vt:lpstr>'HAZİRAN-2026'!Print_Titles_0_0_0</vt:lpstr>
      <vt:lpstr>'MART 2026'!Print_Titles_0_0_0</vt:lpstr>
      <vt:lpstr>'MAYIS-2026'!Print_Titles_0_0_0</vt:lpstr>
      <vt:lpstr>'NİSAN 2026'!Print_Titles_0_0_0</vt:lpstr>
      <vt:lpstr>'OCAK 2026'!Print_Titles_0_0_0</vt:lpstr>
      <vt:lpstr>'ŞUBAT 2026'!Print_Titles_0_0_0</vt:lpstr>
      <vt:lpstr>'HAZİRAN-2026'!Print_Titles_0_0_0_0</vt:lpstr>
      <vt:lpstr>'MART 2026'!Print_Titles_0_0_0_0</vt:lpstr>
      <vt:lpstr>'MAYIS-2026'!Print_Titles_0_0_0_0</vt:lpstr>
      <vt:lpstr>'NİSAN 2026'!Print_Titles_0_0_0_0</vt:lpstr>
      <vt:lpstr>'OCAK 2026'!Print_Titles_0_0_0_0</vt:lpstr>
      <vt:lpstr>'ŞUBAT 2026'!Print_Titles_0_0_0_0</vt:lpstr>
      <vt:lpstr>'HAZİRAN-2026'!Yazdırma_Alanı</vt:lpstr>
      <vt:lpstr>'MART 2026'!Yazdırma_Alanı</vt:lpstr>
      <vt:lpstr>'MAYIS-2026'!Yazdırma_Alanı</vt:lpstr>
      <vt:lpstr>'NİSAN 2026'!Yazdırma_Alanı</vt:lpstr>
      <vt:lpstr>'OCAK 2026'!Yazdırma_Alanı</vt:lpstr>
      <vt:lpstr>'ŞUBAT 2026'!Yazdırma_Alanı</vt:lpstr>
      <vt:lpstr>'HAZİRAN-2026'!Yazdırma_Başlıkları</vt:lpstr>
      <vt:lpstr>'MART 2026'!Yazdırma_Başlıkları</vt:lpstr>
      <vt:lpstr>'MAYIS-2026'!Yazdırma_Başlıkları</vt:lpstr>
      <vt:lpstr>'NİSAN 2026'!Yazdırma_Başlıkları</vt:lpstr>
      <vt:lpstr>'OCAK 2026'!Yazdırma_Başlıkları</vt:lpstr>
      <vt:lpstr>'ŞUBAT 2026'!Yazdırma_Başlıkları</vt:lpstr>
    </vt:vector>
  </TitlesOfParts>
  <Company>Adalet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ab127199</dc:creator>
  <dc:description/>
  <cp:lastModifiedBy>DAMLA HAY 185883</cp:lastModifiedBy>
  <cp:revision>60</cp:revision>
  <cp:lastPrinted>2026-07-01T12:21:18Z</cp:lastPrinted>
  <dcterms:created xsi:type="dcterms:W3CDTF">2016-06-08T11:24:30Z</dcterms:created>
  <dcterms:modified xsi:type="dcterms:W3CDTF">2026-07-01T12:46:17Z</dcterms:modified>
  <dc:language>tr-TR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Company">
    <vt:lpwstr>Adalet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